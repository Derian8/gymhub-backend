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ev\proyectos\proyectoappgym\docs\evaluacion\"/>
    </mc:Choice>
  </mc:AlternateContent>
  <xr:revisionPtr revIDLastSave="0" documentId="13_ncr:1_{27F9A322-30CA-4215-823B-837352D268A5}" xr6:coauthVersionLast="47" xr6:coauthVersionMax="47" xr10:uidLastSave="{00000000-0000-0000-0000-000000000000}"/>
  <bookViews>
    <workbookView xWindow="-108" yWindow="-108" windowWidth="23256" windowHeight="12456" xr2:uid="{DAC88465-63CC-49AD-8403-D57073AAE2C9}"/>
  </bookViews>
  <sheets>
    <sheet name="ExpoTEC-9 Exp plan negocio" sheetId="1" r:id="rId1"/>
    <sheet name="ExpoTEC-8 Exp modelo negocio" sheetId="2" r:id="rId2"/>
    <sheet name="ExpoTEC-11 Doc escrit mod negoc" sheetId="3" r:id="rId3"/>
    <sheet name="ExpoTEC-12 Doc escri plan nego " sheetId="4" r:id="rId4"/>
  </sheets>
  <definedNames>
    <definedName name="_xlnm.Print_Area" localSheetId="2">'ExpoTEC-11 Doc escrit mod negoc'!$A$1:$H$66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7" i="4" l="1"/>
  <c r="B58" i="4"/>
  <c r="B59" i="4"/>
  <c r="B53" i="3"/>
  <c r="B54" i="3" s="1"/>
  <c r="B55" i="3" s="1"/>
  <c r="B47" i="2"/>
  <c r="B48" i="2"/>
  <c r="B49" i="2"/>
  <c r="B50" i="1"/>
  <c r="B51" i="1" s="1"/>
  <c r="B52" i="1" s="1"/>
</calcChain>
</file>

<file path=xl/sharedStrings.xml><?xml version="1.0" encoding="utf-8"?>
<sst xmlns="http://schemas.openxmlformats.org/spreadsheetml/2006/main" count="216" uniqueCount="131">
  <si>
    <t xml:space="preserve">Fecha: </t>
  </si>
  <si>
    <t>Firma:  ____________________________________________</t>
  </si>
  <si>
    <t>_________________________________________________________________</t>
  </si>
  <si>
    <t>Nombre de la persona juez que realiza la calificación:</t>
  </si>
  <si>
    <t>Recomendaciones para la mejora del proyecto:</t>
  </si>
  <si>
    <t>Porcentaje obtenido</t>
  </si>
  <si>
    <t>Calificación obtenida</t>
  </si>
  <si>
    <t>Puntaje obtenido</t>
  </si>
  <si>
    <t xml:space="preserve">u. Describe las alianzas estratégicas en las que se apoya el modelo que agregan valor. </t>
  </si>
  <si>
    <t>t. Evidencia cumplimiento de la normativa vigente del sector al que pertenece el negocio.</t>
  </si>
  <si>
    <t>s.   Explica como el servicio o producto propuesto se adapta a las necesidades de los clientes y puede ajustarse a tendencias o a crisis.</t>
  </si>
  <si>
    <t>r.   Evidencia como el modelo propuesto fomenta la lealtad y recompra de clientes.</t>
  </si>
  <si>
    <t>q.   Utiliza lenguaje técnico acorde con el nivel académico y el campo del negocio.</t>
  </si>
  <si>
    <t>p. Demuestra claridad y coherencia en la exposición del modelo de negocios ante el panel de jueces.</t>
  </si>
  <si>
    <t>o.   Explica los márgenes de beneficio, así como las necesidades de financiamiento, demostrando la viabilidad económica del negocio.</t>
  </si>
  <si>
    <t>n.   Presenta las fuentes de ingresos y la estructura de costos del negocio</t>
  </si>
  <si>
    <t>m.   Presenta de forma coherente los datos financieros utilizados en el estudio económico.</t>
  </si>
  <si>
    <t>l. Justifica de forma sólida porqué los medios que utiliza para llegar a los clientes son los óptimos.</t>
  </si>
  <si>
    <t>k.   Expone con claridad los principales puntos del plan de marketing y ventas (estrategias para adquirir clientes, promocionar el negocio y generar demanda).</t>
  </si>
  <si>
    <t>j.   Expone de manera breve los datos clave del análisis de mercado.</t>
  </si>
  <si>
    <t>i.   Argumenta con solidez la propuesta de valor del negocio enfatizando en su relevancia y para el mercado meta.</t>
  </si>
  <si>
    <t>h.   Expone la posición de la competencia, destacando las oportunidades y las ventajas competitivas del negocio.</t>
  </si>
  <si>
    <t>g.   Argumenta cómo el producto o servicio que ofrecen introduce algo nuevo o mejoras significativas a lo existente.</t>
  </si>
  <si>
    <t xml:space="preserve">f.   Evidencia el impacto de la potencial empresa desde diversos ámbitos, tanto a corto como a largo plazo. </t>
  </si>
  <si>
    <t>e.   Evidencia comprensión de sus clientes y estrategias para atraerlos a largo plazo.</t>
  </si>
  <si>
    <t xml:space="preserve">d.   Describe cómo los productos o servicios ofrecidos les brindan valor a los clientes. </t>
  </si>
  <si>
    <t>c.   Argumenta de forma sólida fundamentada la existencia de interés o necesidad de mercado por el producto o servicio que ofrecen.</t>
  </si>
  <si>
    <t xml:space="preserve">b.   Argumenta cómo el producto o servicio resuelve el problema o necesidad detectada. </t>
  </si>
  <si>
    <t>a.   Define de forma precisa la operación de la potencial empresa.</t>
  </si>
  <si>
    <t>Ausente (0)</t>
  </si>
  <si>
    <t>No logrado (1 pto)</t>
  </si>
  <si>
    <t>Parcialmente logrado (2 pto)</t>
  </si>
  <si>
    <t xml:space="preserve">Logrado (3 ptos) </t>
  </si>
  <si>
    <t>Observaciones</t>
  </si>
  <si>
    <t>Indicadores de evaluación</t>
  </si>
  <si>
    <r>
      <t xml:space="preserve">Ausente: </t>
    </r>
    <r>
      <rPr>
        <u/>
        <sz val="12"/>
        <color theme="1"/>
        <rFont val="Century Gothic"/>
        <family val="2"/>
      </rPr>
      <t>No se evidencia el cumplimiento</t>
    </r>
    <r>
      <rPr>
        <sz val="12"/>
        <color theme="1"/>
        <rFont val="Century Gothic"/>
        <family val="2"/>
      </rPr>
      <t xml:space="preserve"> del indicador considerado.</t>
    </r>
  </si>
  <si>
    <r>
      <t xml:space="preserve">No logrado: </t>
    </r>
    <r>
      <rPr>
        <sz val="12"/>
        <color theme="1"/>
        <rFont val="Century Gothic"/>
        <family val="2"/>
      </rPr>
      <t xml:space="preserve">Demuestra </t>
    </r>
    <r>
      <rPr>
        <u/>
        <sz val="12"/>
        <color theme="1"/>
        <rFont val="Century Gothic"/>
        <family val="2"/>
      </rPr>
      <t>carencia en el dominio</t>
    </r>
    <r>
      <rPr>
        <sz val="12"/>
        <color theme="1"/>
        <rFont val="Century Gothic"/>
        <family val="2"/>
      </rPr>
      <t xml:space="preserve"> de los elementos considerados en el indicador.   </t>
    </r>
  </si>
  <si>
    <r>
      <t xml:space="preserve">Parcialmente logrado: </t>
    </r>
    <r>
      <rPr>
        <sz val="12"/>
        <color theme="1"/>
        <rFont val="Century Gothic"/>
        <family val="2"/>
      </rPr>
      <t xml:space="preserve">Demuestra un </t>
    </r>
    <r>
      <rPr>
        <u/>
        <sz val="12"/>
        <color theme="1"/>
        <rFont val="Century Gothic"/>
        <family val="2"/>
      </rPr>
      <t>dominio parcial</t>
    </r>
    <r>
      <rPr>
        <sz val="12"/>
        <color theme="1"/>
        <rFont val="Century Gothic"/>
        <family val="2"/>
      </rPr>
      <t xml:space="preserve"> de los elementos considerados en el indicador.   </t>
    </r>
  </si>
  <si>
    <r>
      <t xml:space="preserve">Logrado: </t>
    </r>
    <r>
      <rPr>
        <sz val="12"/>
        <color theme="1"/>
        <rFont val="Century Gothic"/>
        <family val="2"/>
      </rPr>
      <t xml:space="preserve">Demuestra a </t>
    </r>
    <r>
      <rPr>
        <u/>
        <sz val="12"/>
        <color theme="1"/>
        <rFont val="Century Gothic"/>
        <family val="2"/>
      </rPr>
      <t>cabalidad el dominio de la totalidad</t>
    </r>
    <r>
      <rPr>
        <sz val="12"/>
        <color theme="1"/>
        <rFont val="Century Gothic"/>
        <family val="2"/>
      </rPr>
      <t xml:space="preserve"> de los elementos considerados en el indicador.   </t>
    </r>
  </si>
  <si>
    <r>
      <rPr>
        <b/>
        <sz val="12"/>
        <color theme="1"/>
        <rFont val="Century Gothic"/>
        <family val="2"/>
      </rPr>
      <t xml:space="preserve">Instrucciones: </t>
    </r>
    <r>
      <rPr>
        <sz val="12"/>
        <color theme="1"/>
        <rFont val="Century Gothic"/>
        <family val="2"/>
      </rPr>
      <t xml:space="preserve"> a continuación, se presentan los indicadores por evaluar en la exposición del plan de negocios. Seleccione alguno de los siguientes niveles de la escala, según su criterio: </t>
    </r>
  </si>
  <si>
    <t>Eje temático:</t>
  </si>
  <si>
    <t>Categoría:</t>
  </si>
  <si>
    <r>
      <t>Título del proyecto:</t>
    </r>
    <r>
      <rPr>
        <b/>
        <sz val="12"/>
        <color rgb="FF000000"/>
        <rFont val="Century Gothic"/>
        <family val="2"/>
      </rPr>
      <t xml:space="preserve"> </t>
    </r>
    <r>
      <rPr>
        <b/>
        <sz val="12"/>
        <color theme="1"/>
        <rFont val="Century Gothic"/>
        <family val="2"/>
      </rPr>
      <t xml:space="preserve">  </t>
    </r>
  </si>
  <si>
    <r>
      <t>Nombre de las personas estudiantes:</t>
    </r>
    <r>
      <rPr>
        <sz val="12"/>
        <color theme="1"/>
        <rFont val="Century Gothic"/>
        <family val="2"/>
      </rPr>
      <t xml:space="preserve"> </t>
    </r>
  </si>
  <si>
    <t xml:space="preserve">Centro educativo:  </t>
  </si>
  <si>
    <t>Curso lectivo 2026</t>
  </si>
  <si>
    <t>Evaluación de la Exposición
 del Plan de Negocios</t>
  </si>
  <si>
    <t>ExpoTEC-9</t>
  </si>
  <si>
    <t>Porcertaje obtenido</t>
  </si>
  <si>
    <t xml:space="preserve">e.   Describe las alianzas estratégicas de su propuesta de valor. </t>
  </si>
  <si>
    <t xml:space="preserve">q.   Explica los canales utilizados para dar a conocer su modelo de negocios. </t>
  </si>
  <si>
    <t>p.   Expone las fuentes de ingresos y estructura de costos.</t>
  </si>
  <si>
    <t xml:space="preserve">o.  Describe las demandas del segmento de clientes y el seguimiento para asegurar la calidad de los bienes o servicios ofrecidos. </t>
  </si>
  <si>
    <t xml:space="preserve">n.   Expone una propuesta innovadora y creativa con respecto al mercado. </t>
  </si>
  <si>
    <t>m.   Caracteriza el segmento de clientes (necesidades - comportamientos - atributos).</t>
  </si>
  <si>
    <t>l.   Define los canales mediante los cuales hará llegar a los clientes la propuesta de valor.</t>
  </si>
  <si>
    <t>k.   Evidencia capacidad de comunicación oral y dominio de la propuesta de valor.</t>
  </si>
  <si>
    <t>j. Utiliza lenguaje técnico acorde con el nivel académico y el campo del negocio.</t>
  </si>
  <si>
    <t>i.   Demuestra claridad y coherencia en la exposición del plan de negocios ante el panel de jueces.</t>
  </si>
  <si>
    <t>h.   Demuestra gestión de los recursos de forma sostenible y responsable.</t>
  </si>
  <si>
    <t>g.   Argumenta con solidez qué hace único al negocio y porqué constituye una buena oportunidad.</t>
  </si>
  <si>
    <t>f.   Demuestra un buen entendimiento del mercado, la competencia y aspectos financieros.</t>
  </si>
  <si>
    <t>e.   Argumenta las diferencias que ofrece la potencial empresa con la competencia.</t>
  </si>
  <si>
    <t xml:space="preserve">d.   Evidencia el impacto la potencial empresa desde diversos ámbitos, tanto a corto, como a largo plazo. </t>
  </si>
  <si>
    <t>c.   Describe los productos o servicios ofrecidos que brindan valor a los clientes,.</t>
  </si>
  <si>
    <t xml:space="preserve">b.   Plantea las alternativas de solución que la empresa brindará al problema o necesidad detectada. </t>
  </si>
  <si>
    <t>a.   Define de forma precisa la operación básica de la potencial empresa.</t>
  </si>
  <si>
    <r>
      <rPr>
        <b/>
        <sz val="12"/>
        <color theme="1"/>
        <rFont val="Century Gothic"/>
        <family val="2"/>
      </rPr>
      <t xml:space="preserve">Instrucciones: </t>
    </r>
    <r>
      <rPr>
        <sz val="12"/>
        <color theme="1"/>
        <rFont val="Century Gothic"/>
        <family val="2"/>
      </rPr>
      <t xml:space="preserve"> a continuación, se presentan los indicadores por evaluar en la exposición del modelo de negocios.  Seleccione alguno de los siguientes niveles de la escala, según su criterio: </t>
    </r>
  </si>
  <si>
    <t xml:space="preserve"> </t>
  </si>
  <si>
    <t>Evaluación de la Exposición
 del Modelo de Negocios</t>
  </si>
  <si>
    <t>ExpoTEC-8</t>
  </si>
  <si>
    <t>Firma:</t>
  </si>
  <si>
    <t>Recomendaciones generales para que este sea un proyecto ganador:</t>
  </si>
  <si>
    <t>x. Plantea los objetivos del negocio enfatizando en su viabilidad, escalabilidad y sostenibilidad.</t>
  </si>
  <si>
    <t>w. Determina aspectos sociales, económicos, tecnológicos o ambientales que resuelve la propuesta de negocio.</t>
  </si>
  <si>
    <t>v. Argumenta la necesidad o problema que resuelve la propuesta de negocio.</t>
  </si>
  <si>
    <t>u. Identifica la situación de mercado, sociedad o industria que se aborda en la propuesta de negocio.</t>
  </si>
  <si>
    <t>t. Justifica de forma sólida la viabilidad y pertinencia del negocio.</t>
  </si>
  <si>
    <t>s. Cumple con el formato establecido.</t>
  </si>
  <si>
    <r>
      <t>r.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Century Gothic"/>
        <family val="2"/>
      </rPr>
      <t>Presenta el listado de referencias citadas en el documento, según formato APA vigente.</t>
    </r>
  </si>
  <si>
    <r>
      <t>q.</t>
    </r>
    <r>
      <rPr>
        <sz val="7"/>
        <color rgb="FF000000"/>
        <rFont val="Times New Roman"/>
        <family val="1"/>
      </rPr>
      <t xml:space="preserve">    </t>
    </r>
    <r>
      <rPr>
        <sz val="12"/>
        <color theme="1"/>
        <rFont val="Century Gothic"/>
        <family val="2"/>
      </rPr>
      <t>Presenta una organización clara y lógica del documento, en congruencia con la estructura dada en los lineamientos.</t>
    </r>
  </si>
  <si>
    <r>
      <t>p.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Century Gothic"/>
        <family val="2"/>
      </rPr>
      <t xml:space="preserve">Detalla las alianzas estratégicas y aportes a su propuesta de valor. </t>
    </r>
  </si>
  <si>
    <r>
      <t>o.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Century Gothic"/>
        <family val="2"/>
      </rPr>
      <t xml:space="preserve"> Incluye los canales para la distribución del producto hasta el cliente y su promoción, incorporando el uso de nuevas tecnologías. </t>
    </r>
  </si>
  <si>
    <r>
      <t>n.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Century Gothic"/>
        <family val="2"/>
      </rPr>
      <t>Presenta la estructura de costos, gastos e ingresos.</t>
    </r>
  </si>
  <si>
    <r>
      <t>m.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Century Gothic"/>
        <family val="2"/>
      </rPr>
      <t>Incluye estrategias de promoción, precios, distribución y posicionamiento.</t>
    </r>
  </si>
  <si>
    <r>
      <t>l.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Century Gothic"/>
        <family val="2"/>
      </rPr>
      <t>Presenta datos sobre clientes, tendencias y oportunidades.</t>
    </r>
  </si>
  <si>
    <r>
      <t>k.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Century Gothic"/>
        <family val="2"/>
      </rPr>
      <t>Presenta las estrategias para el acercamiento al cliente, ya sea durante el proceso de atención o de servicio,</t>
    </r>
  </si>
  <si>
    <t xml:space="preserve">j. Describe las demandas del segmento de clientes y el seguimiento para asegurar la calidad de los bienes o servicios ofrecidos. </t>
  </si>
  <si>
    <t xml:space="preserve">i. Presenta los elementos diferenciadores que facilitan la decisión de compra del cliente. </t>
  </si>
  <si>
    <r>
      <t>h.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Century Gothic"/>
        <family val="2"/>
      </rPr>
      <t>Caracteriza ampliamente el segmento de clientes (Necesidades - comportamientos - atributos).</t>
    </r>
  </si>
  <si>
    <r>
      <t>g.</t>
    </r>
    <r>
      <rPr>
        <sz val="7"/>
        <color rgb="FF000000"/>
        <rFont val="Times New Roman"/>
        <family val="1"/>
      </rPr>
      <t xml:space="preserve">    </t>
    </r>
    <r>
      <rPr>
        <sz val="12"/>
        <color theme="1"/>
        <rFont val="Century Gothic"/>
        <family val="2"/>
      </rPr>
      <t>Define los canales mediante los cuales hará llegar a los clientes la propuesta de valor.</t>
    </r>
  </si>
  <si>
    <r>
      <t>f.</t>
    </r>
    <r>
      <rPr>
        <sz val="7"/>
        <color rgb="FF000000"/>
        <rFont val="Times New Roman"/>
        <family val="1"/>
      </rPr>
      <t xml:space="preserve">    </t>
    </r>
    <r>
      <rPr>
        <sz val="12"/>
        <color theme="1"/>
        <rFont val="Century Gothic"/>
        <family val="2"/>
      </rPr>
      <t xml:space="preserve"> Emplea lenguaje técnico acorde con el nivel académico y el campo del negocio.</t>
    </r>
  </si>
  <si>
    <t>e. Detalla cómo los productos o servicios ofrecidos se diferencian de la competencia.</t>
  </si>
  <si>
    <t>d.	Describe de forma detallada el producto o servicio propuesto que brindan valor a los clientes.</t>
  </si>
  <si>
    <t>c.	Describe las actividades clave que la empresa implementa para ofrecer una propuesta de valor.</t>
  </si>
  <si>
    <t>b.	Explica con solidez qué hace único al negocio y porqué es atractivo.</t>
  </si>
  <si>
    <r>
      <t>a.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Century Gothic"/>
        <family val="2"/>
      </rPr>
      <t>Describe de forma clara y precisa los antecedentes que fundamentan la propuesta de valor</t>
    </r>
  </si>
  <si>
    <r>
      <rPr>
        <b/>
        <sz val="12"/>
        <color theme="1"/>
        <rFont val="Century Gothic"/>
        <family val="2"/>
      </rPr>
      <t xml:space="preserve">Instrucciones: </t>
    </r>
    <r>
      <rPr>
        <sz val="12"/>
        <color theme="1"/>
        <rFont val="Century Gothic"/>
        <family val="2"/>
      </rPr>
      <t xml:space="preserve">a continuación, se presentan los indicadores por evaluar el documento escrito del modelo de negocios. Seleccione alguno de los siguientes niveles de la escala, según su criterio: </t>
    </r>
  </si>
  <si>
    <t>Evaluación del Documento Escrito
 del Modelo de Negocios</t>
  </si>
  <si>
    <t>ExpoTEC-11</t>
  </si>
  <si>
    <t>bb. Argumenta la necesidad o problema que resuelve la propuesta de negocio.</t>
  </si>
  <si>
    <t>aa. Identifica la situación de mercado, sociedad o industria que se aborda en la propuesta de negocio.</t>
  </si>
  <si>
    <t>z. Justifica de forma sólida la viabilidad y pertinencia del negocio.</t>
  </si>
  <si>
    <t>y. Cumple con el formato establecido.</t>
  </si>
  <si>
    <r>
      <t xml:space="preserve">x. Presenta el listado de referencias </t>
    </r>
    <r>
      <rPr>
        <b/>
        <sz val="12"/>
        <color theme="1"/>
        <rFont val="Century Gothic"/>
        <family val="2"/>
      </rPr>
      <t>citadas</t>
    </r>
    <r>
      <rPr>
        <sz val="12"/>
        <color theme="1"/>
        <rFont val="Century Gothic"/>
        <family val="2"/>
      </rPr>
      <t xml:space="preserve"> en el documento, según formato APA vigente.</t>
    </r>
  </si>
  <si>
    <r>
      <t>w.</t>
    </r>
    <r>
      <rPr>
        <sz val="7"/>
        <color rgb="FF000000"/>
        <rFont val="Times New Roman"/>
        <family val="1"/>
      </rPr>
      <t>  </t>
    </r>
    <r>
      <rPr>
        <sz val="12"/>
        <color rgb="FF000000"/>
        <rFont val="Century Gothic"/>
        <family val="2"/>
      </rPr>
      <t xml:space="preserve">Presenta una organización clara y lógica del documento, en congruencia con la estructura dada en los lineamientos. </t>
    </r>
  </si>
  <si>
    <r>
      <t>v.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Century Gothic"/>
        <family val="2"/>
      </rPr>
      <t xml:space="preserve">Detalla las alianzas estratégicas y aportes a su propuesta de valor. </t>
    </r>
  </si>
  <si>
    <r>
      <t>u.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Century Gothic"/>
        <family val="2"/>
      </rPr>
      <t>Evidencia cumplimiento de la normativa vigente en apego a la forma jurídica, organizacional y seguridad social.</t>
    </r>
  </si>
  <si>
    <r>
      <t>t.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Century Gothic"/>
        <family val="2"/>
      </rPr>
      <t>Evidencia una relación realista entre las proyecciones e indicadores financieros.</t>
    </r>
  </si>
  <si>
    <t>s. Presenta el análisis de las fuentes de financiamiento y su impacto en la permanencia del negocio.</t>
  </si>
  <si>
    <r>
      <t>r.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Century Gothic"/>
        <family val="2"/>
      </rPr>
      <t>Presenta el análisis de la viabilidad financiera incluyendo ingresos, costos, gastos y utilidades esperadas.</t>
    </r>
  </si>
  <si>
    <r>
      <t>q.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Century Gothic"/>
        <family val="2"/>
      </rPr>
      <t>Presenta el modelo de negocio integrando los nueve módulos básicos que definen la operación de la empresa, según lo expuesto en la fase Institucional.</t>
    </r>
  </si>
  <si>
    <t>p. Determina el mercado meta y su alineación con la propuesta de valor del negocio.</t>
  </si>
  <si>
    <t xml:space="preserve">o.    Incluye los canales para la distribución del producto hasta el cliente y su promoción, incorporando el uso de nuevas tecnologías. </t>
  </si>
  <si>
    <t>n.   Presenta la estructura de costos, gastos e ingresos.</t>
  </si>
  <si>
    <t xml:space="preserve">m.   Incluye los canales para la distribución del producto hasta el cliente y su promoción, incorporando el uso de nuevas tecnologías. </t>
  </si>
  <si>
    <t>l.   Presenta datos sobre clientes, tendencias y oportunidades.</t>
  </si>
  <si>
    <t>k.   Presenta las estrategias para el acercamiento al cliente, ya sea durante el proceso de atención o de servicio,</t>
  </si>
  <si>
    <t xml:space="preserve">j.   Describe las demandas del segmento de clientes y el seguimiento para asegurar la calidad de los bienes o servicios ofrecidos. </t>
  </si>
  <si>
    <t xml:space="preserve">i.   Presenta los elementos diferenciadores que facilitan la decisión de compra del cliente. </t>
  </si>
  <si>
    <t>h.   Caracteriza ampliamente el segmento de clientes (Necesidades - comportamientos - atributos).</t>
  </si>
  <si>
    <t>g.   Define los canales mediante los cuales hará llegar a los clientes la propuesta de valor.</t>
  </si>
  <si>
    <t>f.    Emplea lenguaje técnico acorde con el nivel académico y el campo del negocio.</t>
  </si>
  <si>
    <t>e.   Detalla cómo los productos o servicios ofrecidos se diferencian de la competencia.</t>
  </si>
  <si>
    <t>d. Describe de forma detallada el producto o servicio propuesto que brindan valor a los clientes.</t>
  </si>
  <si>
    <t>c.	Evidencia la identificación de los equipos y recursos necesarios para llevar a cabo las operaciones de la empresa.</t>
  </si>
  <si>
    <t>b.   Describe las actividades clave que la empresa implementa para ofrecer una propuesta de valor.</t>
  </si>
  <si>
    <t>a.   Explica con solidez qué hace único al negocio y porqué es atractivo.</t>
  </si>
  <si>
    <r>
      <rPr>
        <b/>
        <sz val="12"/>
        <color theme="1"/>
        <rFont val="Century Gothic"/>
        <family val="2"/>
      </rPr>
      <t xml:space="preserve">Instrucciones: </t>
    </r>
    <r>
      <rPr>
        <sz val="12"/>
        <color theme="1"/>
        <rFont val="Century Gothic"/>
        <family val="2"/>
      </rPr>
      <t xml:space="preserve">a continuación, se presentan los indicadores por evaluar el documento escrito del Plan de negocios. Seleccione alguno de los siguientes niveles de la escala, según su criterio: </t>
    </r>
  </si>
  <si>
    <t>Evaluación del Documento Escrito
 del Plan de Negocios</t>
  </si>
  <si>
    <t>ExpoTEC-12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</si>
</sst>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b/>
      <sz val="12"/>
      <color theme="1"/>
      <name val="Century Gothic"/>
      <family val="2"/>
    </font>
    <font>
      <sz val="12"/>
      <name val="Century Gothic"/>
      <family val="2"/>
    </font>
    <font>
      <b/>
      <sz val="12"/>
      <color theme="0"/>
      <name val="Century Gothic"/>
      <family val="2"/>
    </font>
    <font>
      <u/>
      <sz val="12"/>
      <color theme="1"/>
      <name val="Century Gothic"/>
      <family val="2"/>
    </font>
    <font>
      <b/>
      <sz val="12"/>
      <color rgb="FF1F4E79"/>
      <name val="Century Gothic"/>
      <family val="2"/>
    </font>
    <font>
      <sz val="16"/>
      <color theme="1"/>
      <name val="Century Gothic"/>
      <family val="2"/>
    </font>
    <font>
      <b/>
      <sz val="16"/>
      <color rgb="FF1F4E79"/>
      <name val="Century Gothic"/>
      <family val="2"/>
    </font>
    <font>
      <b/>
      <sz val="16"/>
      <color theme="9" tint="-0.249977111117893"/>
      <name val="Century Gothic"/>
      <family val="2"/>
    </font>
    <font>
      <b/>
      <sz val="16"/>
      <color theme="5" tint="-0.249977111117893"/>
      <name val="Century Gothic"/>
      <family val="2"/>
    </font>
    <font>
      <b/>
      <sz val="16"/>
      <color theme="4" tint="-0.249977111117893"/>
      <name val="Century Gothic"/>
      <family val="2"/>
    </font>
    <font>
      <sz val="12"/>
      <color rgb="FF000000"/>
      <name val="Century Gothic"/>
      <family val="2"/>
    </font>
    <font>
      <sz val="7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 indent="1"/>
    </xf>
    <xf numFmtId="0" fontId="1" fillId="0" borderId="15" xfId="0" applyFont="1" applyBorder="1" applyAlignment="1">
      <alignment vertical="center" wrapText="1"/>
    </xf>
    <xf numFmtId="0" fontId="4" fillId="4" borderId="16" xfId="0" applyFont="1" applyFill="1" applyBorder="1" applyAlignment="1">
      <alignment horizontal="left" vertical="top" wrapText="1" indent="1"/>
    </xf>
    <xf numFmtId="0" fontId="1" fillId="0" borderId="13" xfId="0" applyFont="1" applyBorder="1" applyAlignment="1">
      <alignment vertical="center" wrapText="1"/>
    </xf>
    <xf numFmtId="0" fontId="4" fillId="4" borderId="13" xfId="0" applyFont="1" applyFill="1" applyBorder="1" applyAlignment="1">
      <alignment horizontal="left" vertical="top" wrapText="1" indent="1"/>
    </xf>
    <xf numFmtId="0" fontId="1" fillId="0" borderId="17" xfId="0" applyFont="1" applyBorder="1" applyAlignment="1">
      <alignment vertical="center" wrapText="1"/>
    </xf>
    <xf numFmtId="0" fontId="4" fillId="4" borderId="13" xfId="0" applyFont="1" applyFill="1" applyBorder="1" applyAlignment="1">
      <alignment horizontal="left" vertical="center" wrapText="1" indent="1"/>
    </xf>
    <xf numFmtId="0" fontId="1" fillId="4" borderId="0" xfId="0" applyFont="1" applyFill="1"/>
    <xf numFmtId="0" fontId="5" fillId="4" borderId="13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left" vertical="center" wrapText="1" indent="1"/>
    </xf>
    <xf numFmtId="0" fontId="5" fillId="5" borderId="18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left" vertical="center" wrapText="1" inden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" fillId="2" borderId="0" xfId="0" applyFont="1" applyFill="1"/>
    <xf numFmtId="1" fontId="3" fillId="0" borderId="2" xfId="0" applyNumberFormat="1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vertical="center" wrapText="1"/>
    </xf>
    <xf numFmtId="0" fontId="13" fillId="0" borderId="21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left" vertical="center" wrapText="1" indent="1"/>
    </xf>
    <xf numFmtId="0" fontId="13" fillId="0" borderId="0" xfId="0" applyFont="1" applyAlignment="1">
      <alignment horizontal="left" indent="1"/>
    </xf>
    <xf numFmtId="0" fontId="1" fillId="0" borderId="0" xfId="0" applyFont="1" applyAlignment="1">
      <alignment horizontal="left" inden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CB8D165-42AB-4D93-B85B-C3B2C5F5FA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20</xdr:row>
      <xdr:rowOff>190500</xdr:rowOff>
    </xdr:from>
    <xdr:to>
      <xdr:col>5</xdr:col>
      <xdr:colOff>2219325</xdr:colOff>
      <xdr:row>22</xdr:row>
      <xdr:rowOff>209550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A3216626-6EC9-45F7-A518-999442C1CA04}"/>
            </a:ext>
          </a:extLst>
        </xdr:cNvPr>
        <xdr:cNvSpPr>
          <a:spLocks noChangeArrowheads="1"/>
        </xdr:cNvSpPr>
      </xdr:nvSpPr>
      <xdr:spPr bwMode="auto">
        <a:xfrm>
          <a:off x="4410075" y="3840480"/>
          <a:ext cx="300990" cy="361950"/>
        </a:xfrm>
        <a:prstGeom prst="roundRect">
          <a:avLst>
            <a:gd name="adj" fmla="val 16667"/>
          </a:avLst>
        </a:prstGeom>
        <a:ln>
          <a:headEnd/>
          <a:tailEnd/>
        </a:ln>
        <a:scene3d>
          <a:camera prst="orthographicFront"/>
          <a:lightRig rig="threePt" dir="t"/>
        </a:scene3d>
        <a:sp3d>
          <a:bevelT prst="relaxedInset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s-CR" sz="1400" b="1" i="0" u="none" strike="noStrike" baseline="0">
              <a:solidFill>
                <a:srgbClr val="002060"/>
              </a:solidFill>
              <a:latin typeface="Century Gothic"/>
            </a:rPr>
            <a:t>Puntaje total:  66</a:t>
          </a:r>
          <a:r>
            <a:rPr lang="es-CR" sz="1100" b="0" i="0" u="none" strike="noStrike" baseline="0">
              <a:solidFill>
                <a:srgbClr val="00206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oneCellAnchor>
    <xdr:from>
      <xdr:col>0</xdr:col>
      <xdr:colOff>171450</xdr:colOff>
      <xdr:row>2</xdr:row>
      <xdr:rowOff>10056</xdr:rowOff>
    </xdr:from>
    <xdr:ext cx="2967638" cy="580493"/>
    <xdr:pic>
      <xdr:nvPicPr>
        <xdr:cNvPr id="3" name="Imagen 2" descr="Logotipo&#10;&#10;Descripción generada automáticamente con confianza media">
          <a:extLst>
            <a:ext uri="{FF2B5EF4-FFF2-40B4-BE49-F238E27FC236}">
              <a16:creationId xmlns:a16="http://schemas.microsoft.com/office/drawing/2014/main" id="{6DAAAD09-8D6B-4F32-9C10-F6184134A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375816"/>
          <a:ext cx="2967638" cy="580493"/>
        </a:xfrm>
        <a:prstGeom prst="rect">
          <a:avLst/>
        </a:prstGeom>
      </xdr:spPr>
    </xdr:pic>
    <xdr:clientData/>
  </xdr:oneCellAnchor>
  <xdr:oneCellAnchor>
    <xdr:from>
      <xdr:col>5</xdr:col>
      <xdr:colOff>491785</xdr:colOff>
      <xdr:row>1</xdr:row>
      <xdr:rowOff>180975</xdr:rowOff>
    </xdr:from>
    <xdr:ext cx="1421629" cy="761172"/>
    <xdr:pic>
      <xdr:nvPicPr>
        <xdr:cNvPr id="4" name="Imagen 3" descr="Imagen que contiene texto&#10;&#10;El contenido generado por IA puede ser incorrecto.">
          <a:extLst>
            <a:ext uri="{FF2B5EF4-FFF2-40B4-BE49-F238E27FC236}">
              <a16:creationId xmlns:a16="http://schemas.microsoft.com/office/drawing/2014/main" id="{6D7CF0BE-C921-4D88-B17C-36508BAEA6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62" t="41918" r="16047" b="33836"/>
        <a:stretch/>
      </xdr:blipFill>
      <xdr:spPr bwMode="auto">
        <a:xfrm>
          <a:off x="4416085" y="363855"/>
          <a:ext cx="1421629" cy="76117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20</xdr:row>
      <xdr:rowOff>190500</xdr:rowOff>
    </xdr:from>
    <xdr:to>
      <xdr:col>5</xdr:col>
      <xdr:colOff>2219325</xdr:colOff>
      <xdr:row>22</xdr:row>
      <xdr:rowOff>209550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13095610-CED0-4E84-A551-042D2D76DC20}"/>
            </a:ext>
          </a:extLst>
        </xdr:cNvPr>
        <xdr:cNvSpPr>
          <a:spLocks noChangeArrowheads="1"/>
        </xdr:cNvSpPr>
      </xdr:nvSpPr>
      <xdr:spPr bwMode="auto">
        <a:xfrm>
          <a:off x="4410075" y="3840480"/>
          <a:ext cx="300990" cy="361950"/>
        </a:xfrm>
        <a:prstGeom prst="roundRect">
          <a:avLst>
            <a:gd name="adj" fmla="val 16667"/>
          </a:avLst>
        </a:prstGeom>
        <a:ln>
          <a:headEnd/>
          <a:tailEnd/>
        </a:ln>
        <a:scene3d>
          <a:camera prst="orthographicFront"/>
          <a:lightRig rig="threePt" dir="t"/>
        </a:scene3d>
        <a:sp3d>
          <a:bevelT prst="relaxedInset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s-CR" sz="1400" b="1" i="0" u="none" strike="noStrike" baseline="0">
              <a:solidFill>
                <a:srgbClr val="002060"/>
              </a:solidFill>
              <a:latin typeface="Century Gothic"/>
            </a:rPr>
            <a:t>Puntaje total:  54</a:t>
          </a:r>
          <a:r>
            <a:rPr lang="es-CR" sz="1100" b="0" i="0" u="none" strike="noStrike" baseline="0">
              <a:solidFill>
                <a:srgbClr val="00206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oneCellAnchor>
    <xdr:from>
      <xdr:col>0</xdr:col>
      <xdr:colOff>171450</xdr:colOff>
      <xdr:row>2</xdr:row>
      <xdr:rowOff>10056</xdr:rowOff>
    </xdr:from>
    <xdr:ext cx="2967638" cy="580493"/>
    <xdr:pic>
      <xdr:nvPicPr>
        <xdr:cNvPr id="3" name="Imagen 2" descr="Logotipo&#10;&#10;Descripción generada automáticamente con confianza media">
          <a:extLst>
            <a:ext uri="{FF2B5EF4-FFF2-40B4-BE49-F238E27FC236}">
              <a16:creationId xmlns:a16="http://schemas.microsoft.com/office/drawing/2014/main" id="{F6556235-E9CA-419F-8B38-D9D738916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375816"/>
          <a:ext cx="2967638" cy="580493"/>
        </a:xfrm>
        <a:prstGeom prst="rect">
          <a:avLst/>
        </a:prstGeom>
      </xdr:spPr>
    </xdr:pic>
    <xdr:clientData/>
  </xdr:oneCellAnchor>
  <xdr:oneCellAnchor>
    <xdr:from>
      <xdr:col>5</xdr:col>
      <xdr:colOff>491785</xdr:colOff>
      <xdr:row>1</xdr:row>
      <xdr:rowOff>180975</xdr:rowOff>
    </xdr:from>
    <xdr:ext cx="1421629" cy="761172"/>
    <xdr:pic>
      <xdr:nvPicPr>
        <xdr:cNvPr id="4" name="Imagen 3" descr="Imagen que contiene texto&#10;&#10;El contenido generado por IA puede ser incorrecto.">
          <a:extLst>
            <a:ext uri="{FF2B5EF4-FFF2-40B4-BE49-F238E27FC236}">
              <a16:creationId xmlns:a16="http://schemas.microsoft.com/office/drawing/2014/main" id="{7DAA2224-64C7-48EC-B4C9-55A8449988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62" t="41918" r="16047" b="33836"/>
        <a:stretch/>
      </xdr:blipFill>
      <xdr:spPr bwMode="auto">
        <a:xfrm>
          <a:off x="4416085" y="363855"/>
          <a:ext cx="1421629" cy="76117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476249</xdr:colOff>
      <xdr:row>20</xdr:row>
      <xdr:rowOff>209550</xdr:rowOff>
    </xdr:from>
    <xdr:to>
      <xdr:col>5</xdr:col>
      <xdr:colOff>2276474</xdr:colOff>
      <xdr:row>22</xdr:row>
      <xdr:rowOff>180975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ED2BB08D-EFBE-4FC1-B0C4-5ED4BB0B4456}"/>
            </a:ext>
          </a:extLst>
        </xdr:cNvPr>
        <xdr:cNvSpPr>
          <a:spLocks noChangeArrowheads="1"/>
        </xdr:cNvSpPr>
      </xdr:nvSpPr>
      <xdr:spPr bwMode="auto">
        <a:xfrm>
          <a:off x="4400549" y="3836670"/>
          <a:ext cx="306705" cy="367665"/>
        </a:xfrm>
        <a:prstGeom prst="roundRect">
          <a:avLst>
            <a:gd name="adj" fmla="val 16667"/>
          </a:avLst>
        </a:prstGeom>
        <a:ln>
          <a:headEnd/>
          <a:tailEnd/>
        </a:ln>
        <a:scene3d>
          <a:camera prst="orthographicFront"/>
          <a:lightRig rig="threePt" dir="t"/>
        </a:scene3d>
        <a:sp3d>
          <a:bevelT prst="relaxedInset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s-CR" sz="1400" b="1" i="0" u="none" strike="noStrike" baseline="0">
              <a:solidFill>
                <a:srgbClr val="002060"/>
              </a:solidFill>
              <a:latin typeface="Century Gothic"/>
            </a:rPr>
            <a:t>Puntaje total: 72</a:t>
          </a:r>
          <a:endParaRPr lang="es-CR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171450</xdr:colOff>
      <xdr:row>2</xdr:row>
      <xdr:rowOff>10056</xdr:rowOff>
    </xdr:from>
    <xdr:ext cx="2964463" cy="580493"/>
    <xdr:pic>
      <xdr:nvPicPr>
        <xdr:cNvPr id="3" name="Imagen 2" descr="Logotipo&#10;&#10;Descripción generada automáticamente con confianza media">
          <a:extLst>
            <a:ext uri="{FF2B5EF4-FFF2-40B4-BE49-F238E27FC236}">
              <a16:creationId xmlns:a16="http://schemas.microsoft.com/office/drawing/2014/main" id="{FA8D6703-60B3-4EB0-8ECF-A2443CBD5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375816"/>
          <a:ext cx="2964463" cy="580493"/>
        </a:xfrm>
        <a:prstGeom prst="rect">
          <a:avLst/>
        </a:prstGeom>
      </xdr:spPr>
    </xdr:pic>
    <xdr:clientData/>
  </xdr:oneCellAnchor>
  <xdr:oneCellAnchor>
    <xdr:from>
      <xdr:col>5</xdr:col>
      <xdr:colOff>491785</xdr:colOff>
      <xdr:row>1</xdr:row>
      <xdr:rowOff>180975</xdr:rowOff>
    </xdr:from>
    <xdr:ext cx="1424804" cy="762690"/>
    <xdr:pic>
      <xdr:nvPicPr>
        <xdr:cNvPr id="4" name="Imagen 3" descr="Imagen que contiene texto&#10;&#10;El contenido generado por IA puede ser incorrecto.">
          <a:extLst>
            <a:ext uri="{FF2B5EF4-FFF2-40B4-BE49-F238E27FC236}">
              <a16:creationId xmlns:a16="http://schemas.microsoft.com/office/drawing/2014/main" id="{1AFC6EE3-4A87-414B-BB20-43073E5C64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62" t="41918" r="16047" b="33836"/>
        <a:stretch/>
      </xdr:blipFill>
      <xdr:spPr bwMode="auto">
        <a:xfrm>
          <a:off x="4416085" y="363855"/>
          <a:ext cx="1424804" cy="76269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20</xdr:row>
      <xdr:rowOff>190500</xdr:rowOff>
    </xdr:from>
    <xdr:to>
      <xdr:col>5</xdr:col>
      <xdr:colOff>2219325</xdr:colOff>
      <xdr:row>22</xdr:row>
      <xdr:rowOff>209550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E0D2953C-84A8-4DFD-B574-F9AF5970F5C3}"/>
            </a:ext>
          </a:extLst>
        </xdr:cNvPr>
        <xdr:cNvSpPr>
          <a:spLocks noChangeArrowheads="1"/>
        </xdr:cNvSpPr>
      </xdr:nvSpPr>
      <xdr:spPr bwMode="auto">
        <a:xfrm>
          <a:off x="4410075" y="3840480"/>
          <a:ext cx="300990" cy="361950"/>
        </a:xfrm>
        <a:prstGeom prst="roundRect">
          <a:avLst>
            <a:gd name="adj" fmla="val 16667"/>
          </a:avLst>
        </a:prstGeom>
        <a:ln>
          <a:headEnd/>
          <a:tailEnd/>
        </a:ln>
        <a:scene3d>
          <a:camera prst="orthographicFront"/>
          <a:lightRig rig="threePt" dir="t"/>
        </a:scene3d>
        <a:sp3d>
          <a:bevelT prst="relaxedInset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s-CR" sz="1400" b="1" i="0" u="none" strike="noStrike" baseline="0">
              <a:solidFill>
                <a:srgbClr val="002060"/>
              </a:solidFill>
              <a:latin typeface="Century Gothic"/>
            </a:rPr>
            <a:t>Puntaje total: 84</a:t>
          </a:r>
          <a:endParaRPr lang="es-CR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147637</xdr:colOff>
      <xdr:row>1</xdr:row>
      <xdr:rowOff>232306</xdr:rowOff>
    </xdr:from>
    <xdr:ext cx="2961288" cy="593193"/>
    <xdr:pic>
      <xdr:nvPicPr>
        <xdr:cNvPr id="3" name="Imagen 2" descr="Logotipo&#10;&#10;Descripción generada automáticamente con confianza media">
          <a:extLst>
            <a:ext uri="{FF2B5EF4-FFF2-40B4-BE49-F238E27FC236}">
              <a16:creationId xmlns:a16="http://schemas.microsoft.com/office/drawing/2014/main" id="{97EC71C5-D730-4D74-856E-D983C6F1C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" y="369466"/>
          <a:ext cx="2961288" cy="593193"/>
        </a:xfrm>
        <a:prstGeom prst="rect">
          <a:avLst/>
        </a:prstGeom>
      </xdr:spPr>
    </xdr:pic>
    <xdr:clientData/>
  </xdr:oneCellAnchor>
  <xdr:oneCellAnchor>
    <xdr:from>
      <xdr:col>5</xdr:col>
      <xdr:colOff>491785</xdr:colOff>
      <xdr:row>1</xdr:row>
      <xdr:rowOff>180975</xdr:rowOff>
    </xdr:from>
    <xdr:ext cx="1421629" cy="761172"/>
    <xdr:pic>
      <xdr:nvPicPr>
        <xdr:cNvPr id="4" name="Imagen 3" descr="Imagen que contiene texto&#10;&#10;El contenido generado por IA puede ser incorrecto.">
          <a:extLst>
            <a:ext uri="{FF2B5EF4-FFF2-40B4-BE49-F238E27FC236}">
              <a16:creationId xmlns:a16="http://schemas.microsoft.com/office/drawing/2014/main" id="{A849C1E1-5D59-4E12-9CEF-A49D961385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62" t="41918" r="16047" b="33836"/>
        <a:stretch/>
      </xdr:blipFill>
      <xdr:spPr bwMode="auto">
        <a:xfrm>
          <a:off x="4416085" y="363855"/>
          <a:ext cx="1421629" cy="76117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565C-CC2F-4520-B44E-FDCDBE0EB667}">
  <sheetPr>
    <tabColor theme="9" tint="0.39997558519241921"/>
  </sheetPr>
  <dimension ref="A2:M60"/>
  <sheetViews>
    <sheetView showGridLines="0" tabSelected="1" zoomScale="120" zoomScaleNormal="120" workbookViewId="0">
      <selection activeCell="L22" sqref="L22"/>
    </sheetView>
  </sheetViews>
  <sheetFormatPr baseColWidth="10" defaultColWidth="11.44140625" defaultRowHeight="15" x14ac:dyDescent="0.25"/>
  <cols>
    <col min="1" max="1" width="79" style="1" customWidth="1"/>
    <col min="2" max="2" width="10.21875" style="1" customWidth="1"/>
    <col min="3" max="3" width="10.77734375" style="1" customWidth="1"/>
    <col min="4" max="4" width="10.21875" style="1" customWidth="1"/>
    <col min="5" max="5" width="10.44140625" style="1" customWidth="1"/>
    <col min="6" max="6" width="34.5546875" style="1" customWidth="1"/>
    <col min="7" max="7" width="12.44140625" style="1" customWidth="1"/>
    <col min="8" max="16384" width="11.44140625" style="1"/>
  </cols>
  <sheetData>
    <row r="2" spans="1:13" s="59" customFormat="1" ht="21" x14ac:dyDescent="0.35">
      <c r="A2" s="65" t="s">
        <v>47</v>
      </c>
      <c r="B2" s="65"/>
      <c r="C2" s="65"/>
      <c r="D2" s="65"/>
      <c r="E2" s="65"/>
      <c r="F2" s="65"/>
      <c r="G2" s="60"/>
      <c r="H2" s="60"/>
      <c r="I2" s="60"/>
      <c r="J2" s="60"/>
      <c r="K2" s="60"/>
      <c r="L2" s="60"/>
      <c r="M2" s="60"/>
    </row>
    <row r="3" spans="1:13" s="59" customFormat="1" ht="54.75" customHeight="1" x14ac:dyDescent="0.35">
      <c r="A3" s="64" t="s">
        <v>46</v>
      </c>
      <c r="B3" s="63"/>
      <c r="C3" s="63"/>
      <c r="D3" s="63"/>
      <c r="E3" s="63"/>
      <c r="F3" s="63"/>
      <c r="G3" s="60"/>
      <c r="H3" s="60"/>
      <c r="I3" s="60"/>
      <c r="J3" s="60"/>
      <c r="K3" s="60"/>
      <c r="L3" s="60"/>
      <c r="M3" s="60"/>
    </row>
    <row r="4" spans="1:13" s="59" customFormat="1" ht="25.5" customHeight="1" x14ac:dyDescent="0.35">
      <c r="A4" s="62" t="s">
        <v>45</v>
      </c>
      <c r="B4" s="62"/>
      <c r="C4" s="62"/>
      <c r="D4" s="62"/>
      <c r="E4" s="62"/>
      <c r="F4" s="62"/>
      <c r="G4" s="60"/>
      <c r="H4" s="60"/>
      <c r="I4" s="60"/>
      <c r="J4" s="60"/>
      <c r="K4" s="60"/>
      <c r="L4" s="60"/>
      <c r="M4" s="60"/>
    </row>
    <row r="5" spans="1:13" s="59" customFormat="1" ht="25.5" customHeight="1" x14ac:dyDescent="0.35">
      <c r="A5" s="61"/>
      <c r="B5" s="61"/>
      <c r="C5" s="61"/>
      <c r="D5" s="61"/>
      <c r="E5" s="61"/>
      <c r="F5" s="61"/>
      <c r="G5" s="60"/>
      <c r="H5" s="60"/>
      <c r="I5" s="60"/>
      <c r="J5" s="60"/>
      <c r="K5" s="60"/>
      <c r="L5" s="60"/>
      <c r="M5" s="60"/>
    </row>
    <row r="6" spans="1:13" x14ac:dyDescent="0.25">
      <c r="A6" s="58"/>
    </row>
    <row r="7" spans="1:13" x14ac:dyDescent="0.25">
      <c r="A7" s="57" t="s">
        <v>44</v>
      </c>
      <c r="B7" s="56"/>
      <c r="C7" s="56"/>
      <c r="D7" s="56"/>
      <c r="E7" s="56"/>
      <c r="F7" s="56"/>
    </row>
    <row r="8" spans="1:13" x14ac:dyDescent="0.25">
      <c r="A8" s="44"/>
    </row>
    <row r="9" spans="1:13" x14ac:dyDescent="0.25">
      <c r="A9" s="44" t="s">
        <v>43</v>
      </c>
      <c r="B9" s="51"/>
      <c r="C9" s="50"/>
      <c r="D9" s="49"/>
      <c r="F9" s="55"/>
    </row>
    <row r="10" spans="1:13" x14ac:dyDescent="0.25">
      <c r="A10" s="44"/>
      <c r="B10" s="54"/>
      <c r="C10" s="54"/>
      <c r="D10" s="54"/>
      <c r="F10" s="53"/>
    </row>
    <row r="11" spans="1:13" x14ac:dyDescent="0.25">
      <c r="A11" s="44"/>
      <c r="B11" s="51"/>
      <c r="C11" s="50"/>
      <c r="D11" s="49"/>
      <c r="F11" s="53"/>
    </row>
    <row r="12" spans="1:13" x14ac:dyDescent="0.25">
      <c r="A12" s="6"/>
    </row>
    <row r="13" spans="1:13" x14ac:dyDescent="0.25">
      <c r="A13" s="44" t="s">
        <v>42</v>
      </c>
      <c r="B13" s="52"/>
      <c r="C13" s="52"/>
      <c r="D13" s="52"/>
      <c r="E13" s="52"/>
      <c r="F13" s="52"/>
    </row>
    <row r="14" spans="1:13" x14ac:dyDescent="0.25">
      <c r="A14" s="44"/>
    </row>
    <row r="15" spans="1:13" x14ac:dyDescent="0.25">
      <c r="A15" s="44" t="s">
        <v>41</v>
      </c>
      <c r="B15" s="51"/>
      <c r="C15" s="50"/>
      <c r="D15" s="50"/>
      <c r="E15" s="50"/>
      <c r="F15" s="49"/>
    </row>
    <row r="16" spans="1:13" x14ac:dyDescent="0.25">
      <c r="A16" s="44"/>
    </row>
    <row r="17" spans="1:12" x14ac:dyDescent="0.25">
      <c r="A17" s="44" t="s">
        <v>40</v>
      </c>
      <c r="B17" s="48"/>
      <c r="C17" s="47"/>
      <c r="D17" s="47"/>
      <c r="E17" s="47"/>
      <c r="F17" s="46"/>
    </row>
    <row r="18" spans="1:12" x14ac:dyDescent="0.25">
      <c r="A18" s="44"/>
    </row>
    <row r="19" spans="1:12" ht="33.75" customHeight="1" x14ac:dyDescent="0.25">
      <c r="A19" s="45" t="s">
        <v>39</v>
      </c>
      <c r="B19" s="45"/>
      <c r="C19" s="45"/>
      <c r="D19" s="45"/>
      <c r="E19" s="45"/>
      <c r="F19" s="45"/>
    </row>
    <row r="20" spans="1:12" x14ac:dyDescent="0.25">
      <c r="A20" s="6"/>
    </row>
    <row r="21" spans="1:12" x14ac:dyDescent="0.25">
      <c r="A21" s="44" t="s">
        <v>38</v>
      </c>
    </row>
    <row r="22" spans="1:12" x14ac:dyDescent="0.25">
      <c r="A22" s="44" t="s">
        <v>37</v>
      </c>
      <c r="L22" s="66"/>
    </row>
    <row r="23" spans="1:12" x14ac:dyDescent="0.25">
      <c r="A23" s="44" t="s">
        <v>36</v>
      </c>
    </row>
    <row r="24" spans="1:12" x14ac:dyDescent="0.25">
      <c r="A24" s="44" t="s">
        <v>35</v>
      </c>
    </row>
    <row r="25" spans="1:12" x14ac:dyDescent="0.25">
      <c r="A25" s="6"/>
    </row>
    <row r="26" spans="1:12" ht="60" x14ac:dyDescent="0.25">
      <c r="A26" s="43" t="s">
        <v>34</v>
      </c>
      <c r="B26" s="42" t="s">
        <v>32</v>
      </c>
      <c r="C26" s="42" t="s">
        <v>31</v>
      </c>
      <c r="D26" s="42" t="s">
        <v>30</v>
      </c>
      <c r="E26" s="42" t="s">
        <v>29</v>
      </c>
      <c r="F26" s="41" t="s">
        <v>33</v>
      </c>
    </row>
    <row r="27" spans="1:12" ht="17.25" hidden="1" customHeight="1" x14ac:dyDescent="0.25">
      <c r="A27" s="40"/>
      <c r="B27" s="39" t="s">
        <v>32</v>
      </c>
      <c r="C27" s="39" t="s">
        <v>31</v>
      </c>
      <c r="D27" s="39" t="s">
        <v>30</v>
      </c>
      <c r="E27" s="39" t="s">
        <v>29</v>
      </c>
      <c r="F27" s="38"/>
    </row>
    <row r="28" spans="1:12" s="35" customFormat="1" x14ac:dyDescent="0.25">
      <c r="A28" s="37" t="s">
        <v>28</v>
      </c>
      <c r="B28" s="27">
        <v>3</v>
      </c>
      <c r="C28" s="27"/>
      <c r="D28" s="27"/>
      <c r="E28" s="27"/>
      <c r="F28" s="36"/>
    </row>
    <row r="29" spans="1:12" s="35" customFormat="1" ht="30" x14ac:dyDescent="0.25">
      <c r="A29" s="34" t="s">
        <v>27</v>
      </c>
      <c r="B29" s="27">
        <v>3</v>
      </c>
      <c r="C29" s="27"/>
      <c r="D29" s="27"/>
      <c r="E29" s="27"/>
      <c r="F29" s="36"/>
    </row>
    <row r="30" spans="1:12" s="35" customFormat="1" ht="45" x14ac:dyDescent="0.25">
      <c r="A30" s="34" t="s">
        <v>26</v>
      </c>
      <c r="B30" s="27">
        <v>3</v>
      </c>
      <c r="C30" s="27"/>
      <c r="D30" s="27"/>
      <c r="E30" s="27"/>
      <c r="F30" s="36"/>
    </row>
    <row r="31" spans="1:12" s="35" customFormat="1" ht="30" x14ac:dyDescent="0.25">
      <c r="A31" s="34" t="s">
        <v>25</v>
      </c>
      <c r="B31" s="27">
        <v>3</v>
      </c>
      <c r="C31" s="27"/>
      <c r="D31" s="27"/>
      <c r="E31" s="27"/>
      <c r="F31" s="36"/>
    </row>
    <row r="32" spans="1:12" s="35" customFormat="1" ht="30" x14ac:dyDescent="0.25">
      <c r="A32" s="34" t="s">
        <v>24</v>
      </c>
      <c r="B32" s="27">
        <v>3</v>
      </c>
      <c r="C32" s="27"/>
      <c r="D32" s="27"/>
      <c r="E32" s="27"/>
      <c r="F32" s="36"/>
    </row>
    <row r="33" spans="1:6" s="35" customFormat="1" ht="30" x14ac:dyDescent="0.25">
      <c r="A33" s="34" t="s">
        <v>23</v>
      </c>
      <c r="B33" s="27">
        <v>3</v>
      </c>
      <c r="C33" s="27"/>
      <c r="D33" s="27"/>
      <c r="E33" s="27"/>
      <c r="F33" s="36"/>
    </row>
    <row r="34" spans="1:6" s="35" customFormat="1" ht="30" x14ac:dyDescent="0.25">
      <c r="A34" s="34" t="s">
        <v>22</v>
      </c>
      <c r="B34" s="27">
        <v>3</v>
      </c>
      <c r="C34" s="27"/>
      <c r="D34" s="27"/>
      <c r="E34" s="27"/>
      <c r="F34" s="36"/>
    </row>
    <row r="35" spans="1:6" s="35" customFormat="1" ht="30" x14ac:dyDescent="0.25">
      <c r="A35" s="34" t="s">
        <v>21</v>
      </c>
      <c r="B35" s="27">
        <v>3</v>
      </c>
      <c r="C35" s="27"/>
      <c r="D35" s="27"/>
      <c r="E35" s="27"/>
      <c r="F35" s="36"/>
    </row>
    <row r="36" spans="1:6" s="35" customFormat="1" ht="30" x14ac:dyDescent="0.25">
      <c r="A36" s="34" t="s">
        <v>20</v>
      </c>
      <c r="B36" s="27">
        <v>3</v>
      </c>
      <c r="C36" s="27"/>
      <c r="D36" s="27"/>
      <c r="E36" s="27"/>
      <c r="F36" s="36"/>
    </row>
    <row r="37" spans="1:6" s="35" customFormat="1" ht="36.75" customHeight="1" x14ac:dyDescent="0.25">
      <c r="A37" s="34" t="s">
        <v>19</v>
      </c>
      <c r="B37" s="27">
        <v>3</v>
      </c>
      <c r="C37" s="27"/>
      <c r="D37" s="27"/>
      <c r="E37" s="27"/>
      <c r="F37" s="36"/>
    </row>
    <row r="38" spans="1:6" s="35" customFormat="1" ht="45" x14ac:dyDescent="0.25">
      <c r="A38" s="34" t="s">
        <v>18</v>
      </c>
      <c r="B38" s="27">
        <v>3</v>
      </c>
      <c r="C38" s="27"/>
      <c r="D38" s="27"/>
      <c r="E38" s="27"/>
      <c r="F38" s="36"/>
    </row>
    <row r="39" spans="1:6" s="35" customFormat="1" ht="30" x14ac:dyDescent="0.25">
      <c r="A39" s="34" t="s">
        <v>17</v>
      </c>
      <c r="B39" s="27">
        <v>3</v>
      </c>
      <c r="C39" s="27"/>
      <c r="D39" s="27"/>
      <c r="E39" s="27"/>
      <c r="F39" s="36"/>
    </row>
    <row r="40" spans="1:6" s="35" customFormat="1" ht="30" x14ac:dyDescent="0.25">
      <c r="A40" s="34" t="s">
        <v>16</v>
      </c>
      <c r="B40" s="27">
        <v>3</v>
      </c>
      <c r="C40" s="27"/>
      <c r="D40" s="27"/>
      <c r="E40" s="27"/>
      <c r="F40" s="36"/>
    </row>
    <row r="41" spans="1:6" s="35" customFormat="1" ht="30" x14ac:dyDescent="0.25">
      <c r="A41" s="34" t="s">
        <v>15</v>
      </c>
      <c r="B41" s="27">
        <v>3</v>
      </c>
      <c r="C41" s="27"/>
      <c r="D41" s="27"/>
      <c r="E41" s="27"/>
      <c r="F41" s="36"/>
    </row>
    <row r="42" spans="1:6" s="35" customFormat="1" ht="37.5" customHeight="1" x14ac:dyDescent="0.25">
      <c r="A42" s="32" t="s">
        <v>14</v>
      </c>
      <c r="B42" s="27">
        <v>3</v>
      </c>
      <c r="C42" s="27"/>
      <c r="D42" s="27"/>
      <c r="E42" s="27"/>
      <c r="F42" s="36"/>
    </row>
    <row r="43" spans="1:6" s="35" customFormat="1" ht="39" customHeight="1" x14ac:dyDescent="0.25">
      <c r="A43" s="32" t="s">
        <v>13</v>
      </c>
      <c r="B43" s="27">
        <v>3</v>
      </c>
      <c r="C43" s="27"/>
      <c r="D43" s="27"/>
      <c r="E43" s="27"/>
      <c r="F43" s="36"/>
    </row>
    <row r="44" spans="1:6" ht="30" x14ac:dyDescent="0.25">
      <c r="A44" s="34" t="s">
        <v>12</v>
      </c>
      <c r="B44" s="27">
        <v>3</v>
      </c>
      <c r="C44" s="33"/>
      <c r="D44" s="33"/>
      <c r="E44" s="33"/>
      <c r="F44" s="33"/>
    </row>
    <row r="45" spans="1:6" ht="30" x14ac:dyDescent="0.25">
      <c r="A45" s="32" t="s">
        <v>11</v>
      </c>
      <c r="B45" s="27">
        <v>3</v>
      </c>
      <c r="C45" s="31"/>
      <c r="D45" s="31"/>
      <c r="E45" s="31"/>
      <c r="F45" s="31"/>
    </row>
    <row r="46" spans="1:6" ht="37.5" customHeight="1" x14ac:dyDescent="0.25">
      <c r="A46" s="32" t="s">
        <v>10</v>
      </c>
      <c r="B46" s="27">
        <v>3</v>
      </c>
      <c r="C46" s="31"/>
      <c r="D46" s="31"/>
      <c r="E46" s="31"/>
      <c r="F46" s="31"/>
    </row>
    <row r="47" spans="1:6" ht="37.5" customHeight="1" x14ac:dyDescent="0.25">
      <c r="A47" s="30" t="s">
        <v>9</v>
      </c>
      <c r="B47" s="27">
        <v>3</v>
      </c>
      <c r="C47" s="29"/>
      <c r="D47" s="29"/>
      <c r="E47" s="29"/>
      <c r="F47" s="29"/>
    </row>
    <row r="48" spans="1:6" ht="30" x14ac:dyDescent="0.25">
      <c r="A48" s="28" t="s">
        <v>8</v>
      </c>
      <c r="B48" s="27">
        <v>3</v>
      </c>
      <c r="C48" s="26"/>
      <c r="D48" s="26"/>
      <c r="E48" s="26"/>
      <c r="F48" s="26"/>
    </row>
    <row r="49" spans="1:6" ht="4.5" customHeight="1" x14ac:dyDescent="0.25">
      <c r="A49" s="25"/>
      <c r="B49" s="24"/>
      <c r="C49" s="24"/>
      <c r="D49" s="24"/>
      <c r="E49" s="24"/>
      <c r="F49" s="23"/>
    </row>
    <row r="50" spans="1:6" x14ac:dyDescent="0.25">
      <c r="A50" s="16" t="s">
        <v>7</v>
      </c>
      <c r="B50" s="22">
        <f>SUM(B28:B49)</f>
        <v>63</v>
      </c>
      <c r="C50" s="21"/>
      <c r="D50" s="20"/>
      <c r="E50" s="20"/>
      <c r="F50" s="19"/>
    </row>
    <row r="51" spans="1:6" x14ac:dyDescent="0.25">
      <c r="A51" s="16" t="s">
        <v>6</v>
      </c>
      <c r="B51" s="18">
        <f>(B50/63)*100</f>
        <v>100</v>
      </c>
      <c r="C51" s="14"/>
      <c r="D51" s="13"/>
      <c r="E51" s="13"/>
      <c r="F51" s="17"/>
    </row>
    <row r="52" spans="1:6" x14ac:dyDescent="0.25">
      <c r="A52" s="16" t="s">
        <v>5</v>
      </c>
      <c r="B52" s="15">
        <f>(B51*0.5)</f>
        <v>50</v>
      </c>
      <c r="C52" s="14"/>
      <c r="D52" s="13"/>
      <c r="E52" s="13"/>
    </row>
    <row r="53" spans="1:6" x14ac:dyDescent="0.25">
      <c r="A53" s="2" t="s">
        <v>4</v>
      </c>
    </row>
    <row r="54" spans="1:6" x14ac:dyDescent="0.25">
      <c r="A54" s="12"/>
      <c r="B54" s="11"/>
      <c r="C54" s="11"/>
      <c r="D54" s="11"/>
      <c r="E54" s="11"/>
      <c r="F54" s="10"/>
    </row>
    <row r="55" spans="1:6" ht="37.5" customHeight="1" x14ac:dyDescent="0.25">
      <c r="A55" s="9"/>
      <c r="B55" s="8"/>
      <c r="C55" s="8"/>
      <c r="D55" s="8"/>
      <c r="E55" s="8"/>
      <c r="F55" s="7"/>
    </row>
    <row r="56" spans="1:6" x14ac:dyDescent="0.25">
      <c r="A56" s="6"/>
    </row>
    <row r="57" spans="1:6" x14ac:dyDescent="0.25">
      <c r="A57" s="2" t="s">
        <v>3</v>
      </c>
      <c r="B57" s="5" t="s">
        <v>2</v>
      </c>
      <c r="C57" s="5"/>
      <c r="D57" s="5"/>
      <c r="E57" s="5"/>
    </row>
    <row r="58" spans="1:6" x14ac:dyDescent="0.25">
      <c r="A58" s="2"/>
    </row>
    <row r="59" spans="1:6" x14ac:dyDescent="0.25">
      <c r="A59" s="2" t="s">
        <v>1</v>
      </c>
      <c r="C59" s="2" t="s">
        <v>0</v>
      </c>
      <c r="D59" s="4"/>
      <c r="E59" s="3"/>
    </row>
    <row r="60" spans="1:6" x14ac:dyDescent="0.25">
      <c r="A60" s="2"/>
    </row>
  </sheetData>
  <mergeCells count="16">
    <mergeCell ref="D59:E59"/>
    <mergeCell ref="A19:F19"/>
    <mergeCell ref="A26:A27"/>
    <mergeCell ref="F26:F27"/>
    <mergeCell ref="A54:F55"/>
    <mergeCell ref="B57:E57"/>
    <mergeCell ref="C51:E52"/>
    <mergeCell ref="B13:F13"/>
    <mergeCell ref="B11:D11"/>
    <mergeCell ref="B17:F17"/>
    <mergeCell ref="B15:F15"/>
    <mergeCell ref="A2:F2"/>
    <mergeCell ref="A3:F3"/>
    <mergeCell ref="A4:F4"/>
    <mergeCell ref="B9:D9"/>
    <mergeCell ref="B7:F7"/>
  </mergeCells>
  <pageMargins left="0.70866141732283472" right="0.70866141732283472" top="0.74803149606299213" bottom="0.74803149606299213" header="0.31496062992125984" footer="0.31496062992125984"/>
  <pageSetup scale="48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03DC0-3D06-485F-804B-4AC43DFCCCB2}">
  <sheetPr>
    <tabColor rgb="FFCC99FF"/>
  </sheetPr>
  <dimension ref="A2:M57"/>
  <sheetViews>
    <sheetView showGridLines="0" topLeftCell="A5" zoomScale="120" zoomScaleNormal="120" workbookViewId="0">
      <selection activeCell="J13" sqref="J13"/>
    </sheetView>
  </sheetViews>
  <sheetFormatPr baseColWidth="10" defaultColWidth="11.44140625" defaultRowHeight="15" x14ac:dyDescent="0.25"/>
  <cols>
    <col min="1" max="1" width="79" style="1" customWidth="1"/>
    <col min="2" max="2" width="10.21875" style="1" customWidth="1"/>
    <col min="3" max="3" width="10.77734375" style="1" customWidth="1"/>
    <col min="4" max="4" width="10.21875" style="1" customWidth="1"/>
    <col min="5" max="5" width="10.44140625" style="1" customWidth="1"/>
    <col min="6" max="6" width="34.5546875" style="1" customWidth="1"/>
    <col min="7" max="7" width="12.44140625" style="1" customWidth="1"/>
    <col min="8" max="16384" width="11.44140625" style="1"/>
  </cols>
  <sheetData>
    <row r="2" spans="1:13" s="59" customFormat="1" ht="21" x14ac:dyDescent="0.35">
      <c r="A2" s="65" t="s">
        <v>70</v>
      </c>
      <c r="B2" s="65"/>
      <c r="C2" s="65"/>
      <c r="D2" s="65"/>
      <c r="E2" s="65"/>
      <c r="F2" s="65"/>
      <c r="G2" s="60"/>
      <c r="H2" s="60"/>
      <c r="I2" s="60"/>
      <c r="J2" s="60"/>
      <c r="K2" s="60"/>
      <c r="L2" s="60"/>
      <c r="M2" s="60"/>
    </row>
    <row r="3" spans="1:13" s="59" customFormat="1" ht="54.75" customHeight="1" x14ac:dyDescent="0.35">
      <c r="A3" s="64" t="s">
        <v>69</v>
      </c>
      <c r="B3" s="63"/>
      <c r="C3" s="63"/>
      <c r="D3" s="63"/>
      <c r="E3" s="63"/>
      <c r="F3" s="63"/>
      <c r="G3" s="60"/>
      <c r="H3" s="60"/>
      <c r="I3" s="60"/>
      <c r="J3" s="60"/>
      <c r="K3" s="60"/>
      <c r="L3" s="60"/>
      <c r="M3" s="60"/>
    </row>
    <row r="4" spans="1:13" s="59" customFormat="1" ht="25.5" customHeight="1" x14ac:dyDescent="0.35">
      <c r="A4" s="62" t="s">
        <v>45</v>
      </c>
      <c r="B4" s="62"/>
      <c r="C4" s="62"/>
      <c r="D4" s="62"/>
      <c r="E4" s="62"/>
      <c r="F4" s="62"/>
      <c r="G4" s="60"/>
      <c r="H4" s="60"/>
      <c r="I4" s="60"/>
      <c r="J4" s="60"/>
      <c r="K4" s="60"/>
      <c r="L4" s="60"/>
      <c r="M4" s="60"/>
    </row>
    <row r="5" spans="1:13" s="59" customFormat="1" ht="25.5" customHeight="1" x14ac:dyDescent="0.35">
      <c r="A5" s="61"/>
      <c r="B5" s="61"/>
      <c r="C5" s="61"/>
      <c r="D5" s="61"/>
      <c r="E5" s="61"/>
      <c r="F5" s="61"/>
      <c r="G5" s="60"/>
      <c r="H5" s="60"/>
      <c r="I5" s="60"/>
      <c r="J5" s="60"/>
      <c r="K5" s="60"/>
      <c r="L5" s="60"/>
      <c r="M5" s="60"/>
    </row>
    <row r="6" spans="1:13" x14ac:dyDescent="0.25">
      <c r="A6" s="58"/>
    </row>
    <row r="7" spans="1:13" x14ac:dyDescent="0.25">
      <c r="A7" s="57" t="s">
        <v>44</v>
      </c>
      <c r="B7" s="56"/>
      <c r="C7" s="56"/>
      <c r="D7" s="56"/>
      <c r="E7" s="56"/>
      <c r="F7" s="56"/>
    </row>
    <row r="8" spans="1:13" x14ac:dyDescent="0.25">
      <c r="A8" s="44"/>
    </row>
    <row r="9" spans="1:13" x14ac:dyDescent="0.25">
      <c r="A9" s="44" t="s">
        <v>43</v>
      </c>
      <c r="B9" s="51"/>
      <c r="C9" s="50"/>
      <c r="D9" s="49"/>
      <c r="F9" s="55"/>
    </row>
    <row r="10" spans="1:13" x14ac:dyDescent="0.25">
      <c r="A10" s="44"/>
      <c r="B10" s="54"/>
      <c r="C10" s="54"/>
      <c r="D10" s="54"/>
      <c r="F10" s="53"/>
    </row>
    <row r="11" spans="1:13" x14ac:dyDescent="0.25">
      <c r="A11" s="44"/>
      <c r="B11" s="51"/>
      <c r="C11" s="50"/>
      <c r="D11" s="49"/>
      <c r="F11" s="53"/>
      <c r="H11" s="1" t="s">
        <v>68</v>
      </c>
    </row>
    <row r="12" spans="1:13" x14ac:dyDescent="0.25">
      <c r="A12" s="6"/>
    </row>
    <row r="13" spans="1:13" x14ac:dyDescent="0.25">
      <c r="A13" s="44" t="s">
        <v>42</v>
      </c>
      <c r="B13" s="52"/>
      <c r="C13" s="52"/>
      <c r="D13" s="52"/>
      <c r="E13" s="52"/>
      <c r="F13" s="52"/>
    </row>
    <row r="14" spans="1:13" x14ac:dyDescent="0.25">
      <c r="A14" s="44"/>
    </row>
    <row r="15" spans="1:13" x14ac:dyDescent="0.25">
      <c r="A15" s="44" t="s">
        <v>41</v>
      </c>
      <c r="B15" s="51"/>
      <c r="C15" s="50"/>
      <c r="D15" s="50"/>
      <c r="E15" s="50"/>
      <c r="F15" s="49"/>
    </row>
    <row r="16" spans="1:13" x14ac:dyDescent="0.25">
      <c r="A16" s="44"/>
    </row>
    <row r="17" spans="1:6" x14ac:dyDescent="0.25">
      <c r="A17" s="44" t="s">
        <v>40</v>
      </c>
      <c r="B17" s="48"/>
      <c r="C17" s="47"/>
      <c r="D17" s="47"/>
      <c r="E17" s="47"/>
      <c r="F17" s="46"/>
    </row>
    <row r="18" spans="1:6" x14ac:dyDescent="0.25">
      <c r="A18" s="44"/>
    </row>
    <row r="19" spans="1:6" ht="33.75" customHeight="1" x14ac:dyDescent="0.25">
      <c r="A19" s="45" t="s">
        <v>67</v>
      </c>
      <c r="B19" s="45"/>
      <c r="C19" s="45"/>
      <c r="D19" s="45"/>
      <c r="E19" s="45"/>
      <c r="F19" s="45"/>
    </row>
    <row r="20" spans="1:6" x14ac:dyDescent="0.25">
      <c r="A20" s="6"/>
    </row>
    <row r="21" spans="1:6" x14ac:dyDescent="0.25">
      <c r="A21" s="44" t="s">
        <v>38</v>
      </c>
    </row>
    <row r="22" spans="1:6" x14ac:dyDescent="0.25">
      <c r="A22" s="44" t="s">
        <v>37</v>
      </c>
    </row>
    <row r="23" spans="1:6" x14ac:dyDescent="0.25">
      <c r="A23" s="44" t="s">
        <v>36</v>
      </c>
    </row>
    <row r="24" spans="1:6" x14ac:dyDescent="0.25">
      <c r="A24" s="44" t="s">
        <v>35</v>
      </c>
    </row>
    <row r="25" spans="1:6" x14ac:dyDescent="0.25">
      <c r="A25" s="6"/>
    </row>
    <row r="26" spans="1:6" ht="60" x14ac:dyDescent="0.25">
      <c r="A26" s="43" t="s">
        <v>34</v>
      </c>
      <c r="B26" s="42" t="s">
        <v>32</v>
      </c>
      <c r="C26" s="42" t="s">
        <v>31</v>
      </c>
      <c r="D26" s="42" t="s">
        <v>30</v>
      </c>
      <c r="E26" s="42" t="s">
        <v>29</v>
      </c>
      <c r="F26" s="41" t="s">
        <v>33</v>
      </c>
    </row>
    <row r="27" spans="1:6" ht="17.25" hidden="1" customHeight="1" x14ac:dyDescent="0.25">
      <c r="A27" s="40"/>
      <c r="B27" s="39" t="s">
        <v>32</v>
      </c>
      <c r="C27" s="39" t="s">
        <v>31</v>
      </c>
      <c r="D27" s="39" t="s">
        <v>30</v>
      </c>
      <c r="E27" s="39" t="s">
        <v>29</v>
      </c>
      <c r="F27" s="38"/>
    </row>
    <row r="28" spans="1:6" s="35" customFormat="1" ht="30" x14ac:dyDescent="0.25">
      <c r="A28" s="37" t="s">
        <v>66</v>
      </c>
      <c r="B28" s="27">
        <v>3</v>
      </c>
      <c r="C28" s="27"/>
      <c r="D28" s="27"/>
      <c r="E28" s="27"/>
      <c r="F28" s="36"/>
    </row>
    <row r="29" spans="1:6" s="35" customFormat="1" ht="30" x14ac:dyDescent="0.25">
      <c r="A29" s="34" t="s">
        <v>65</v>
      </c>
      <c r="B29" s="27">
        <v>3</v>
      </c>
      <c r="C29" s="27"/>
      <c r="D29" s="27"/>
      <c r="E29" s="27"/>
      <c r="F29" s="36"/>
    </row>
    <row r="30" spans="1:6" s="35" customFormat="1" ht="30" x14ac:dyDescent="0.25">
      <c r="A30" s="34" t="s">
        <v>64</v>
      </c>
      <c r="B30" s="27">
        <v>3</v>
      </c>
      <c r="C30" s="27"/>
      <c r="D30" s="27"/>
      <c r="E30" s="27"/>
      <c r="F30" s="36"/>
    </row>
    <row r="31" spans="1:6" s="35" customFormat="1" ht="30" x14ac:dyDescent="0.25">
      <c r="A31" s="34" t="s">
        <v>63</v>
      </c>
      <c r="B31" s="27">
        <v>3</v>
      </c>
      <c r="C31" s="27"/>
      <c r="D31" s="27"/>
      <c r="E31" s="27"/>
      <c r="F31" s="36"/>
    </row>
    <row r="32" spans="1:6" s="35" customFormat="1" ht="30" x14ac:dyDescent="0.25">
      <c r="A32" s="34" t="s">
        <v>62</v>
      </c>
      <c r="B32" s="27">
        <v>3</v>
      </c>
      <c r="C32" s="27"/>
      <c r="D32" s="27"/>
      <c r="E32" s="27"/>
      <c r="F32" s="36"/>
    </row>
    <row r="33" spans="1:6" s="35" customFormat="1" ht="30" x14ac:dyDescent="0.25">
      <c r="A33" s="34" t="s">
        <v>61</v>
      </c>
      <c r="B33" s="27">
        <v>3</v>
      </c>
      <c r="C33" s="27"/>
      <c r="D33" s="27"/>
      <c r="E33" s="27"/>
      <c r="F33" s="36"/>
    </row>
    <row r="34" spans="1:6" s="35" customFormat="1" ht="30" x14ac:dyDescent="0.25">
      <c r="A34" s="34" t="s">
        <v>60</v>
      </c>
      <c r="B34" s="27">
        <v>3</v>
      </c>
      <c r="C34" s="27"/>
      <c r="D34" s="27"/>
      <c r="E34" s="27"/>
      <c r="F34" s="36"/>
    </row>
    <row r="35" spans="1:6" s="35" customFormat="1" ht="30" x14ac:dyDescent="0.25">
      <c r="A35" s="34" t="s">
        <v>59</v>
      </c>
      <c r="B35" s="27">
        <v>3</v>
      </c>
      <c r="C35" s="27"/>
      <c r="D35" s="27"/>
      <c r="E35" s="27"/>
      <c r="F35" s="36"/>
    </row>
    <row r="36" spans="1:6" s="35" customFormat="1" ht="30" x14ac:dyDescent="0.25">
      <c r="A36" s="34" t="s">
        <v>58</v>
      </c>
      <c r="B36" s="27">
        <v>3</v>
      </c>
      <c r="C36" s="27"/>
      <c r="D36" s="27"/>
      <c r="E36" s="27"/>
      <c r="F36" s="36"/>
    </row>
    <row r="37" spans="1:6" s="35" customFormat="1" ht="36.75" customHeight="1" x14ac:dyDescent="0.25">
      <c r="A37" s="34" t="s">
        <v>57</v>
      </c>
      <c r="B37" s="27">
        <v>3</v>
      </c>
      <c r="C37" s="27"/>
      <c r="D37" s="27"/>
      <c r="E37" s="27"/>
      <c r="F37" s="36"/>
    </row>
    <row r="38" spans="1:6" s="35" customFormat="1" ht="30" x14ac:dyDescent="0.25">
      <c r="A38" s="34" t="s">
        <v>56</v>
      </c>
      <c r="B38" s="27">
        <v>3</v>
      </c>
      <c r="C38" s="27"/>
      <c r="D38" s="27"/>
      <c r="E38" s="27"/>
      <c r="F38" s="36"/>
    </row>
    <row r="39" spans="1:6" s="35" customFormat="1" ht="30" x14ac:dyDescent="0.25">
      <c r="A39" s="34" t="s">
        <v>55</v>
      </c>
      <c r="B39" s="27">
        <v>3</v>
      </c>
      <c r="C39" s="27"/>
      <c r="D39" s="27"/>
      <c r="E39" s="27"/>
      <c r="F39" s="36"/>
    </row>
    <row r="40" spans="1:6" s="35" customFormat="1" ht="30" x14ac:dyDescent="0.25">
      <c r="A40" s="34" t="s">
        <v>54</v>
      </c>
      <c r="B40" s="27">
        <v>3</v>
      </c>
      <c r="C40" s="27"/>
      <c r="D40" s="27"/>
      <c r="E40" s="27"/>
      <c r="F40" s="36"/>
    </row>
    <row r="41" spans="1:6" ht="30" x14ac:dyDescent="0.25">
      <c r="A41" s="34" t="s">
        <v>53</v>
      </c>
      <c r="B41" s="27">
        <v>3</v>
      </c>
      <c r="C41" s="33"/>
      <c r="D41" s="33"/>
      <c r="E41" s="33"/>
      <c r="F41" s="33"/>
    </row>
    <row r="42" spans="1:6" ht="39" customHeight="1" x14ac:dyDescent="0.25">
      <c r="A42" s="34" t="s">
        <v>52</v>
      </c>
      <c r="B42" s="27">
        <v>3</v>
      </c>
      <c r="C42" s="31"/>
      <c r="D42" s="31"/>
      <c r="E42" s="31"/>
      <c r="F42" s="31"/>
    </row>
    <row r="43" spans="1:6" ht="23.25" customHeight="1" x14ac:dyDescent="0.25">
      <c r="A43" s="34" t="s">
        <v>51</v>
      </c>
      <c r="B43" s="27">
        <v>3</v>
      </c>
      <c r="C43" s="31"/>
      <c r="D43" s="31"/>
      <c r="E43" s="31"/>
      <c r="F43" s="31"/>
    </row>
    <row r="44" spans="1:6" ht="30" x14ac:dyDescent="0.25">
      <c r="A44" s="34" t="s">
        <v>50</v>
      </c>
      <c r="B44" s="27">
        <v>3</v>
      </c>
      <c r="C44" s="31"/>
      <c r="D44" s="31"/>
      <c r="E44" s="31"/>
      <c r="F44" s="31"/>
    </row>
    <row r="45" spans="1:6" ht="23.25" customHeight="1" x14ac:dyDescent="0.25">
      <c r="A45" s="28" t="s">
        <v>49</v>
      </c>
      <c r="B45" s="27">
        <v>3</v>
      </c>
      <c r="C45" s="26"/>
      <c r="D45" s="26"/>
      <c r="E45" s="26"/>
      <c r="F45" s="26"/>
    </row>
    <row r="46" spans="1:6" ht="4.5" customHeight="1" x14ac:dyDescent="0.25">
      <c r="A46" s="25"/>
      <c r="B46" s="24"/>
      <c r="C46" s="24"/>
      <c r="D46" s="24"/>
      <c r="E46" s="24"/>
      <c r="F46" s="23"/>
    </row>
    <row r="47" spans="1:6" x14ac:dyDescent="0.25">
      <c r="A47" s="16" t="s">
        <v>7</v>
      </c>
      <c r="B47" s="22">
        <f>SUM(B28:B46)</f>
        <v>54</v>
      </c>
      <c r="C47" s="68"/>
      <c r="D47" s="67"/>
      <c r="E47" s="67"/>
      <c r="F47" s="19"/>
    </row>
    <row r="48" spans="1:6" x14ac:dyDescent="0.25">
      <c r="A48" s="16" t="s">
        <v>6</v>
      </c>
      <c r="B48" s="18">
        <f>B47/54*100</f>
        <v>100</v>
      </c>
      <c r="C48" s="14"/>
      <c r="D48" s="13"/>
      <c r="E48" s="13"/>
      <c r="F48" s="17"/>
    </row>
    <row r="49" spans="1:6" x14ac:dyDescent="0.25">
      <c r="A49" s="16" t="s">
        <v>48</v>
      </c>
      <c r="B49" s="15">
        <f>(B48*0.5)</f>
        <v>50</v>
      </c>
      <c r="C49" s="14"/>
      <c r="D49" s="13"/>
      <c r="E49" s="13"/>
    </row>
    <row r="50" spans="1:6" x14ac:dyDescent="0.25">
      <c r="A50" s="2" t="s">
        <v>4</v>
      </c>
    </row>
    <row r="51" spans="1:6" x14ac:dyDescent="0.25">
      <c r="A51" s="12"/>
      <c r="B51" s="11"/>
      <c r="C51" s="11"/>
      <c r="D51" s="11"/>
      <c r="E51" s="11"/>
      <c r="F51" s="10"/>
    </row>
    <row r="52" spans="1:6" ht="37.5" customHeight="1" x14ac:dyDescent="0.25">
      <c r="A52" s="9"/>
      <c r="B52" s="8"/>
      <c r="C52" s="8"/>
      <c r="D52" s="8"/>
      <c r="E52" s="8"/>
      <c r="F52" s="7"/>
    </row>
    <row r="53" spans="1:6" x14ac:dyDescent="0.25">
      <c r="A53" s="6"/>
    </row>
    <row r="54" spans="1:6" x14ac:dyDescent="0.25">
      <c r="A54" s="2" t="s">
        <v>3</v>
      </c>
      <c r="B54" s="5" t="s">
        <v>2</v>
      </c>
      <c r="C54" s="5"/>
      <c r="D54" s="5"/>
      <c r="E54" s="5"/>
    </row>
    <row r="55" spans="1:6" x14ac:dyDescent="0.25">
      <c r="A55" s="2"/>
    </row>
    <row r="56" spans="1:6" x14ac:dyDescent="0.25">
      <c r="A56" s="2" t="s">
        <v>1</v>
      </c>
      <c r="C56" s="2" t="s">
        <v>0</v>
      </c>
      <c r="D56" s="4"/>
      <c r="E56" s="3"/>
    </row>
    <row r="57" spans="1:6" x14ac:dyDescent="0.25">
      <c r="A57" s="2"/>
    </row>
  </sheetData>
  <mergeCells count="16">
    <mergeCell ref="A51:F52"/>
    <mergeCell ref="B54:E54"/>
    <mergeCell ref="D56:E56"/>
    <mergeCell ref="B13:F13"/>
    <mergeCell ref="B15:F15"/>
    <mergeCell ref="B17:F17"/>
    <mergeCell ref="A19:F19"/>
    <mergeCell ref="A26:A27"/>
    <mergeCell ref="F26:F27"/>
    <mergeCell ref="C47:E49"/>
    <mergeCell ref="B11:D11"/>
    <mergeCell ref="A2:F2"/>
    <mergeCell ref="A3:F3"/>
    <mergeCell ref="A4:F4"/>
    <mergeCell ref="B7:F7"/>
    <mergeCell ref="B9:D9"/>
  </mergeCells>
  <pageMargins left="0.70866141732283472" right="0.70866141732283472" top="0.74803149606299213" bottom="0.74803149606299213" header="0.31496062992125984" footer="0.31496062992125984"/>
  <pageSetup scale="48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EE094-1539-41C4-B917-1A0CD25DF689}">
  <sheetPr>
    <tabColor rgb="FF66FFFF"/>
  </sheetPr>
  <dimension ref="A2:M63"/>
  <sheetViews>
    <sheetView showGridLines="0" zoomScale="115" zoomScaleNormal="115" workbookViewId="0">
      <selection activeCell="J9" sqref="J9"/>
    </sheetView>
  </sheetViews>
  <sheetFormatPr baseColWidth="10" defaultColWidth="11.44140625" defaultRowHeight="15" x14ac:dyDescent="0.25"/>
  <cols>
    <col min="1" max="1" width="79" style="1" customWidth="1"/>
    <col min="2" max="2" width="10.21875" style="1" customWidth="1"/>
    <col min="3" max="3" width="10.77734375" style="1" customWidth="1"/>
    <col min="4" max="4" width="10.21875" style="1" customWidth="1"/>
    <col min="5" max="5" width="10.44140625" style="1" customWidth="1"/>
    <col min="6" max="6" width="34.5546875" style="1" customWidth="1"/>
    <col min="7" max="7" width="12.44140625" style="1" customWidth="1"/>
    <col min="8" max="16384" width="11.44140625" style="1"/>
  </cols>
  <sheetData>
    <row r="2" spans="1:13" s="59" customFormat="1" ht="21" x14ac:dyDescent="0.35">
      <c r="A2" s="65" t="s">
        <v>99</v>
      </c>
      <c r="B2" s="65"/>
      <c r="C2" s="65"/>
      <c r="D2" s="65"/>
      <c r="E2" s="65"/>
      <c r="F2" s="65"/>
      <c r="G2" s="60"/>
      <c r="H2" s="60"/>
      <c r="I2" s="60"/>
      <c r="J2" s="60"/>
      <c r="K2" s="60"/>
      <c r="L2" s="60"/>
      <c r="M2" s="60"/>
    </row>
    <row r="3" spans="1:13" s="59" customFormat="1" ht="54.75" customHeight="1" x14ac:dyDescent="0.35">
      <c r="A3" s="64" t="s">
        <v>98</v>
      </c>
      <c r="B3" s="63"/>
      <c r="C3" s="63"/>
      <c r="D3" s="63"/>
      <c r="E3" s="63"/>
      <c r="F3" s="63"/>
      <c r="G3" s="60"/>
      <c r="H3" s="60"/>
      <c r="I3" s="60"/>
      <c r="J3" s="60"/>
      <c r="K3" s="60"/>
      <c r="L3" s="60"/>
      <c r="M3" s="60"/>
    </row>
    <row r="4" spans="1:13" s="59" customFormat="1" ht="25.5" customHeight="1" x14ac:dyDescent="0.35">
      <c r="A4" s="62" t="s">
        <v>45</v>
      </c>
      <c r="B4" s="62"/>
      <c r="C4" s="62"/>
      <c r="D4" s="62"/>
      <c r="E4" s="62"/>
      <c r="F4" s="62"/>
      <c r="G4" s="60"/>
      <c r="H4" s="60"/>
      <c r="I4" s="60"/>
      <c r="J4" s="60"/>
      <c r="K4" s="60"/>
      <c r="L4" s="60"/>
      <c r="M4" s="60"/>
    </row>
    <row r="5" spans="1:13" s="59" customFormat="1" ht="17.25" customHeight="1" x14ac:dyDescent="0.35">
      <c r="A5" s="61"/>
      <c r="B5" s="61"/>
      <c r="C5" s="61"/>
      <c r="D5" s="61"/>
      <c r="E5" s="61"/>
      <c r="F5" s="61"/>
      <c r="G5" s="60"/>
      <c r="H5" s="60"/>
      <c r="I5" s="60"/>
      <c r="J5" s="60"/>
      <c r="K5" s="60"/>
      <c r="L5" s="60"/>
      <c r="M5" s="60"/>
    </row>
    <row r="6" spans="1:13" x14ac:dyDescent="0.25">
      <c r="A6" s="58"/>
    </row>
    <row r="7" spans="1:13" x14ac:dyDescent="0.25">
      <c r="A7" s="57" t="s">
        <v>44</v>
      </c>
      <c r="B7" s="56"/>
      <c r="C7" s="56"/>
      <c r="D7" s="56"/>
      <c r="E7" s="56"/>
      <c r="F7" s="56"/>
    </row>
    <row r="8" spans="1:13" x14ac:dyDescent="0.25">
      <c r="A8" s="44"/>
    </row>
    <row r="9" spans="1:13" x14ac:dyDescent="0.25">
      <c r="A9" s="44" t="s">
        <v>43</v>
      </c>
      <c r="B9" s="51"/>
      <c r="C9" s="50"/>
      <c r="D9" s="49"/>
      <c r="F9" s="55"/>
    </row>
    <row r="10" spans="1:13" x14ac:dyDescent="0.25">
      <c r="A10" s="44"/>
      <c r="B10" s="54"/>
      <c r="C10" s="54"/>
      <c r="D10" s="54"/>
      <c r="F10" s="53"/>
    </row>
    <row r="11" spans="1:13" x14ac:dyDescent="0.25">
      <c r="A11" s="44"/>
      <c r="B11" s="51"/>
      <c r="C11" s="50"/>
      <c r="D11" s="49"/>
      <c r="F11" s="53"/>
      <c r="H11" s="1" t="s">
        <v>68</v>
      </c>
    </row>
    <row r="12" spans="1:13" x14ac:dyDescent="0.25">
      <c r="A12" s="6"/>
    </row>
    <row r="13" spans="1:13" x14ac:dyDescent="0.25">
      <c r="A13" s="44" t="s">
        <v>42</v>
      </c>
      <c r="B13" s="52"/>
      <c r="C13" s="52"/>
      <c r="D13" s="52"/>
      <c r="E13" s="52"/>
      <c r="F13" s="52"/>
    </row>
    <row r="14" spans="1:13" x14ac:dyDescent="0.25">
      <c r="A14" s="44"/>
    </row>
    <row r="15" spans="1:13" x14ac:dyDescent="0.25">
      <c r="A15" s="44" t="s">
        <v>41</v>
      </c>
      <c r="B15" s="51"/>
      <c r="C15" s="50"/>
      <c r="D15" s="50"/>
      <c r="E15" s="50"/>
      <c r="F15" s="49"/>
    </row>
    <row r="16" spans="1:13" x14ac:dyDescent="0.25">
      <c r="A16" s="44"/>
    </row>
    <row r="17" spans="1:6" x14ac:dyDescent="0.25">
      <c r="A17" s="44" t="s">
        <v>40</v>
      </c>
      <c r="B17" s="48"/>
      <c r="C17" s="47"/>
      <c r="D17" s="47"/>
      <c r="E17" s="47"/>
      <c r="F17" s="46"/>
    </row>
    <row r="18" spans="1:6" x14ac:dyDescent="0.25">
      <c r="A18" s="44"/>
    </row>
    <row r="19" spans="1:6" ht="33.75" customHeight="1" x14ac:dyDescent="0.25">
      <c r="A19" s="45" t="s">
        <v>97</v>
      </c>
      <c r="B19" s="45"/>
      <c r="C19" s="45"/>
      <c r="D19" s="45"/>
      <c r="E19" s="45"/>
      <c r="F19" s="45"/>
    </row>
    <row r="20" spans="1:6" x14ac:dyDescent="0.25">
      <c r="A20" s="6"/>
    </row>
    <row r="21" spans="1:6" x14ac:dyDescent="0.25">
      <c r="A21" s="44" t="s">
        <v>38</v>
      </c>
    </row>
    <row r="22" spans="1:6" x14ac:dyDescent="0.25">
      <c r="A22" s="44" t="s">
        <v>37</v>
      </c>
    </row>
    <row r="23" spans="1:6" x14ac:dyDescent="0.25">
      <c r="A23" s="44" t="s">
        <v>36</v>
      </c>
    </row>
    <row r="24" spans="1:6" x14ac:dyDescent="0.25">
      <c r="A24" s="44" t="s">
        <v>35</v>
      </c>
    </row>
    <row r="25" spans="1:6" x14ac:dyDescent="0.25">
      <c r="A25" s="6"/>
    </row>
    <row r="26" spans="1:6" ht="60" x14ac:dyDescent="0.25">
      <c r="A26" s="43" t="s">
        <v>34</v>
      </c>
      <c r="B26" s="42" t="s">
        <v>32</v>
      </c>
      <c r="C26" s="42" t="s">
        <v>31</v>
      </c>
      <c r="D26" s="42" t="s">
        <v>30</v>
      </c>
      <c r="E26" s="42" t="s">
        <v>29</v>
      </c>
      <c r="F26" s="41" t="s">
        <v>33</v>
      </c>
    </row>
    <row r="27" spans="1:6" ht="17.25" hidden="1" customHeight="1" x14ac:dyDescent="0.25">
      <c r="A27" s="40"/>
      <c r="B27" s="39" t="s">
        <v>32</v>
      </c>
      <c r="C27" s="39" t="s">
        <v>31</v>
      </c>
      <c r="D27" s="39" t="s">
        <v>30</v>
      </c>
      <c r="E27" s="39" t="s">
        <v>29</v>
      </c>
      <c r="F27" s="38"/>
    </row>
    <row r="28" spans="1:6" s="35" customFormat="1" ht="30" x14ac:dyDescent="0.25">
      <c r="A28" s="74" t="s">
        <v>96</v>
      </c>
      <c r="B28" s="27">
        <v>3</v>
      </c>
      <c r="C28" s="27"/>
      <c r="D28" s="27"/>
      <c r="E28" s="27"/>
      <c r="F28" s="36"/>
    </row>
    <row r="29" spans="1:6" s="35" customFormat="1" ht="30" x14ac:dyDescent="0.25">
      <c r="A29" s="74" t="s">
        <v>95</v>
      </c>
      <c r="B29" s="27">
        <v>3</v>
      </c>
      <c r="C29" s="27"/>
      <c r="D29" s="27"/>
      <c r="E29" s="27"/>
      <c r="F29" s="36"/>
    </row>
    <row r="30" spans="1:6" s="35" customFormat="1" ht="30" x14ac:dyDescent="0.25">
      <c r="A30" s="74" t="s">
        <v>94</v>
      </c>
      <c r="B30" s="27">
        <v>3</v>
      </c>
      <c r="C30" s="27"/>
      <c r="D30" s="27"/>
      <c r="E30" s="27"/>
      <c r="F30" s="36"/>
    </row>
    <row r="31" spans="1:6" s="35" customFormat="1" ht="30" x14ac:dyDescent="0.25">
      <c r="A31" s="74" t="s">
        <v>93</v>
      </c>
      <c r="B31" s="27">
        <v>3</v>
      </c>
      <c r="C31" s="27"/>
      <c r="D31" s="27"/>
      <c r="E31" s="27"/>
      <c r="F31" s="36"/>
    </row>
    <row r="32" spans="1:6" s="35" customFormat="1" x14ac:dyDescent="0.25">
      <c r="A32" s="78" t="s">
        <v>92</v>
      </c>
      <c r="B32" s="27">
        <v>3</v>
      </c>
      <c r="C32" s="27"/>
      <c r="D32" s="27"/>
      <c r="E32" s="27"/>
      <c r="F32" s="36"/>
    </row>
    <row r="33" spans="1:6" s="35" customFormat="1" ht="30" x14ac:dyDescent="0.25">
      <c r="A33" s="76" t="s">
        <v>91</v>
      </c>
      <c r="B33" s="27">
        <v>3</v>
      </c>
      <c r="C33" s="27"/>
      <c r="D33" s="27"/>
      <c r="E33" s="27"/>
      <c r="F33" s="36"/>
    </row>
    <row r="34" spans="1:6" s="35" customFormat="1" ht="30" x14ac:dyDescent="0.25">
      <c r="A34" s="74" t="s">
        <v>90</v>
      </c>
      <c r="B34" s="27">
        <v>3</v>
      </c>
      <c r="C34" s="27"/>
      <c r="D34" s="27"/>
      <c r="E34" s="27"/>
      <c r="F34" s="36"/>
    </row>
    <row r="35" spans="1:6" s="35" customFormat="1" ht="30" x14ac:dyDescent="0.25">
      <c r="A35" s="74" t="s">
        <v>89</v>
      </c>
      <c r="B35" s="27">
        <v>3</v>
      </c>
      <c r="C35" s="27"/>
      <c r="D35" s="27"/>
      <c r="E35" s="27"/>
      <c r="F35" s="36"/>
    </row>
    <row r="36" spans="1:6" s="35" customFormat="1" x14ac:dyDescent="0.25">
      <c r="A36" s="77" t="s">
        <v>88</v>
      </c>
      <c r="B36" s="27">
        <v>3</v>
      </c>
      <c r="C36" s="27"/>
      <c r="D36" s="27"/>
      <c r="E36" s="27"/>
      <c r="F36" s="36"/>
    </row>
    <row r="37" spans="1:6" s="35" customFormat="1" ht="30" x14ac:dyDescent="0.25">
      <c r="A37" s="74" t="s">
        <v>87</v>
      </c>
      <c r="B37" s="27">
        <v>3</v>
      </c>
      <c r="C37" s="27"/>
      <c r="D37" s="27"/>
      <c r="E37" s="27"/>
      <c r="F37" s="36"/>
    </row>
    <row r="38" spans="1:6" s="35" customFormat="1" ht="30" x14ac:dyDescent="0.25">
      <c r="A38" s="76" t="s">
        <v>86</v>
      </c>
      <c r="B38" s="27">
        <v>3</v>
      </c>
      <c r="C38" s="27"/>
      <c r="D38" s="27"/>
      <c r="E38" s="27"/>
      <c r="F38" s="36"/>
    </row>
    <row r="39" spans="1:6" s="35" customFormat="1" x14ac:dyDescent="0.25">
      <c r="A39" s="74" t="s">
        <v>85</v>
      </c>
      <c r="B39" s="27">
        <v>3</v>
      </c>
      <c r="C39" s="27"/>
      <c r="D39" s="27"/>
      <c r="E39" s="27"/>
      <c r="F39" s="36"/>
    </row>
    <row r="40" spans="1:6" ht="30" x14ac:dyDescent="0.25">
      <c r="A40" s="74" t="s">
        <v>84</v>
      </c>
      <c r="B40" s="27">
        <v>3</v>
      </c>
      <c r="C40" s="33"/>
      <c r="D40" s="33"/>
      <c r="E40" s="33"/>
      <c r="F40" s="33"/>
    </row>
    <row r="41" spans="1:6" x14ac:dyDescent="0.25">
      <c r="A41" s="75" t="s">
        <v>83</v>
      </c>
      <c r="B41" s="27">
        <v>3</v>
      </c>
      <c r="C41" s="33"/>
      <c r="D41" s="33"/>
      <c r="E41" s="33"/>
      <c r="F41" s="33"/>
    </row>
    <row r="42" spans="1:6" ht="30" x14ac:dyDescent="0.25">
      <c r="A42" s="76" t="s">
        <v>82</v>
      </c>
      <c r="B42" s="27">
        <v>3</v>
      </c>
      <c r="C42" s="31"/>
      <c r="D42" s="31"/>
      <c r="E42" s="31"/>
      <c r="F42" s="31"/>
    </row>
    <row r="43" spans="1:6" ht="30" x14ac:dyDescent="0.25">
      <c r="A43" s="74" t="s">
        <v>81</v>
      </c>
      <c r="B43" s="27">
        <v>3</v>
      </c>
      <c r="C43" s="31"/>
      <c r="D43" s="31"/>
      <c r="E43" s="31"/>
      <c r="F43" s="31"/>
    </row>
    <row r="44" spans="1:6" ht="30" x14ac:dyDescent="0.25">
      <c r="A44" s="74" t="s">
        <v>80</v>
      </c>
      <c r="B44" s="27">
        <v>3</v>
      </c>
      <c r="C44" s="31"/>
      <c r="D44" s="31"/>
      <c r="E44" s="31"/>
      <c r="F44" s="31"/>
    </row>
    <row r="45" spans="1:6" ht="30" x14ac:dyDescent="0.25">
      <c r="A45" s="75" t="s">
        <v>79</v>
      </c>
      <c r="B45" s="27">
        <v>3</v>
      </c>
      <c r="C45" s="29"/>
      <c r="D45" s="29"/>
      <c r="E45" s="29"/>
      <c r="F45" s="29"/>
    </row>
    <row r="46" spans="1:6" x14ac:dyDescent="0.25">
      <c r="A46" s="74" t="s">
        <v>78</v>
      </c>
      <c r="B46" s="27">
        <v>3</v>
      </c>
      <c r="C46" s="29"/>
      <c r="D46" s="29"/>
      <c r="E46" s="29"/>
      <c r="F46" s="29"/>
    </row>
    <row r="47" spans="1:6" x14ac:dyDescent="0.25">
      <c r="A47" s="74" t="s">
        <v>77</v>
      </c>
      <c r="B47" s="27">
        <v>3</v>
      </c>
      <c r="C47" s="29"/>
      <c r="D47" s="29"/>
      <c r="E47" s="29"/>
      <c r="F47" s="29"/>
    </row>
    <row r="48" spans="1:6" ht="30" x14ac:dyDescent="0.25">
      <c r="A48" s="74" t="s">
        <v>76</v>
      </c>
      <c r="B48" s="27">
        <v>3</v>
      </c>
      <c r="C48" s="29"/>
      <c r="D48" s="29"/>
      <c r="E48" s="29"/>
      <c r="F48" s="29"/>
    </row>
    <row r="49" spans="1:6" ht="39" customHeight="1" x14ac:dyDescent="0.25">
      <c r="A49" s="74" t="s">
        <v>75</v>
      </c>
      <c r="B49" s="27">
        <v>3</v>
      </c>
      <c r="C49" s="29"/>
      <c r="D49" s="29"/>
      <c r="E49" s="29"/>
      <c r="F49" s="29"/>
    </row>
    <row r="50" spans="1:6" ht="30" x14ac:dyDescent="0.25">
      <c r="A50" s="74" t="s">
        <v>74</v>
      </c>
      <c r="B50" s="27">
        <v>3</v>
      </c>
      <c r="C50" s="29"/>
      <c r="D50" s="29"/>
      <c r="E50" s="29"/>
      <c r="F50" s="29"/>
    </row>
    <row r="51" spans="1:6" ht="30" x14ac:dyDescent="0.25">
      <c r="A51" s="74" t="s">
        <v>73</v>
      </c>
      <c r="B51" s="27">
        <v>3</v>
      </c>
      <c r="C51" s="29"/>
      <c r="D51" s="29"/>
      <c r="E51" s="29"/>
      <c r="F51" s="29"/>
    </row>
    <row r="52" spans="1:6" ht="4.5" customHeight="1" x14ac:dyDescent="0.25">
      <c r="A52" s="25"/>
      <c r="B52" s="24"/>
      <c r="C52" s="73"/>
      <c r="D52" s="73"/>
      <c r="E52" s="73"/>
      <c r="F52" s="23"/>
    </row>
    <row r="53" spans="1:6" x14ac:dyDescent="0.25">
      <c r="A53" s="16" t="s">
        <v>7</v>
      </c>
      <c r="B53" s="72">
        <f>SUM(B28:B52)</f>
        <v>72</v>
      </c>
      <c r="C53" s="71"/>
      <c r="D53" s="71"/>
      <c r="E53" s="71"/>
      <c r="F53" s="19"/>
    </row>
    <row r="54" spans="1:6" x14ac:dyDescent="0.25">
      <c r="A54" s="16" t="s">
        <v>6</v>
      </c>
      <c r="B54" s="70">
        <f>B53/72*100</f>
        <v>100</v>
      </c>
      <c r="C54" s="71"/>
      <c r="D54" s="71"/>
      <c r="E54" s="71"/>
      <c r="F54" s="17"/>
    </row>
    <row r="55" spans="1:6" x14ac:dyDescent="0.25">
      <c r="A55" s="16" t="s">
        <v>5</v>
      </c>
      <c r="B55" s="70">
        <f>(B54*0.5)</f>
        <v>50</v>
      </c>
      <c r="C55" s="69"/>
      <c r="D55" s="69"/>
      <c r="E55" s="69"/>
    </row>
    <row r="56" spans="1:6" x14ac:dyDescent="0.25">
      <c r="A56" s="2" t="s">
        <v>72</v>
      </c>
    </row>
    <row r="57" spans="1:6" x14ac:dyDescent="0.25">
      <c r="A57" s="12"/>
      <c r="B57" s="11"/>
      <c r="C57" s="11"/>
      <c r="D57" s="11"/>
      <c r="E57" s="11"/>
      <c r="F57" s="10"/>
    </row>
    <row r="58" spans="1:6" ht="37.5" customHeight="1" x14ac:dyDescent="0.25">
      <c r="A58" s="9"/>
      <c r="B58" s="8"/>
      <c r="C58" s="8"/>
      <c r="D58" s="8"/>
      <c r="E58" s="8"/>
      <c r="F58" s="7"/>
    </row>
    <row r="59" spans="1:6" x14ac:dyDescent="0.25">
      <c r="A59" s="6"/>
    </row>
    <row r="60" spans="1:6" x14ac:dyDescent="0.25">
      <c r="A60" s="2" t="s">
        <v>3</v>
      </c>
      <c r="B60" s="5" t="s">
        <v>2</v>
      </c>
      <c r="C60" s="5"/>
      <c r="D60" s="5"/>
      <c r="E60" s="5"/>
    </row>
    <row r="61" spans="1:6" x14ac:dyDescent="0.25">
      <c r="A61" s="2"/>
    </row>
    <row r="62" spans="1:6" x14ac:dyDescent="0.25">
      <c r="A62" s="2" t="s">
        <v>71</v>
      </c>
      <c r="C62" s="2"/>
      <c r="D62" s="5"/>
      <c r="E62" s="5"/>
    </row>
    <row r="63" spans="1:6" x14ac:dyDescent="0.25">
      <c r="A63" s="2"/>
    </row>
  </sheetData>
  <mergeCells count="15">
    <mergeCell ref="A57:F58"/>
    <mergeCell ref="D62:E62"/>
    <mergeCell ref="B13:F13"/>
    <mergeCell ref="B15:F15"/>
    <mergeCell ref="B17:F17"/>
    <mergeCell ref="A19:F19"/>
    <mergeCell ref="A26:A27"/>
    <mergeCell ref="F26:F27"/>
    <mergeCell ref="B60:E60"/>
    <mergeCell ref="B11:D11"/>
    <mergeCell ref="A2:F2"/>
    <mergeCell ref="A3:F3"/>
    <mergeCell ref="A4:F4"/>
    <mergeCell ref="B7:F7"/>
    <mergeCell ref="B9:D9"/>
  </mergeCells>
  <pageMargins left="0.70866141732283472" right="0.70866141732283472" top="0.74803149606299213" bottom="0.74803149606299213" header="0.31496062992125984" footer="0.31496062992125984"/>
  <pageSetup scale="48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3081-5A1B-40E5-AD79-4099255F23CA}">
  <sheetPr>
    <tabColor theme="0" tint="-0.249977111117893"/>
  </sheetPr>
  <dimension ref="A2:M67"/>
  <sheetViews>
    <sheetView showGridLines="0" zoomScale="120" zoomScaleNormal="120" workbookViewId="0">
      <selection activeCell="H7" sqref="H7"/>
    </sheetView>
  </sheetViews>
  <sheetFormatPr baseColWidth="10" defaultColWidth="11.44140625" defaultRowHeight="15" x14ac:dyDescent="0.25"/>
  <cols>
    <col min="1" max="1" width="79" style="1" customWidth="1"/>
    <col min="2" max="2" width="10.21875" style="1" customWidth="1"/>
    <col min="3" max="3" width="10.77734375" style="1" customWidth="1"/>
    <col min="4" max="4" width="10.21875" style="1" customWidth="1"/>
    <col min="5" max="5" width="10.44140625" style="1" customWidth="1"/>
    <col min="6" max="6" width="34.5546875" style="1" customWidth="1"/>
    <col min="7" max="7" width="12.44140625" style="1" customWidth="1"/>
    <col min="8" max="16384" width="11.44140625" style="1"/>
  </cols>
  <sheetData>
    <row r="2" spans="1:13" s="59" customFormat="1" ht="21" x14ac:dyDescent="0.35">
      <c r="A2" s="65" t="s">
        <v>130</v>
      </c>
      <c r="B2" s="65"/>
      <c r="C2" s="65"/>
      <c r="D2" s="65"/>
      <c r="E2" s="65"/>
      <c r="F2" s="65"/>
      <c r="G2" s="60"/>
      <c r="H2" s="60"/>
      <c r="I2" s="60"/>
      <c r="J2" s="60"/>
      <c r="K2" s="60"/>
      <c r="L2" s="60"/>
      <c r="M2" s="60"/>
    </row>
    <row r="3" spans="1:13" s="59" customFormat="1" ht="54.75" customHeight="1" x14ac:dyDescent="0.35">
      <c r="A3" s="64" t="s">
        <v>129</v>
      </c>
      <c r="B3" s="63"/>
      <c r="C3" s="63"/>
      <c r="D3" s="63"/>
      <c r="E3" s="63"/>
      <c r="F3" s="63"/>
      <c r="G3" s="60"/>
      <c r="H3" s="60"/>
      <c r="I3" s="60"/>
      <c r="J3" s="60"/>
      <c r="K3" s="60"/>
      <c r="L3" s="60"/>
      <c r="M3" s="60"/>
    </row>
    <row r="4" spans="1:13" s="59" customFormat="1" ht="25.5" customHeight="1" x14ac:dyDescent="0.35">
      <c r="A4" s="62" t="s">
        <v>45</v>
      </c>
      <c r="B4" s="62"/>
      <c r="C4" s="62"/>
      <c r="D4" s="62"/>
      <c r="E4" s="62"/>
      <c r="F4" s="62"/>
      <c r="G4" s="60"/>
      <c r="H4" s="60"/>
      <c r="I4" s="60"/>
      <c r="J4" s="60"/>
      <c r="K4" s="60"/>
      <c r="L4" s="60"/>
      <c r="M4" s="60"/>
    </row>
    <row r="5" spans="1:13" s="59" customFormat="1" ht="16.5" customHeight="1" x14ac:dyDescent="0.35">
      <c r="A5" s="61"/>
      <c r="B5" s="61"/>
      <c r="C5" s="61"/>
      <c r="D5" s="61"/>
      <c r="E5" s="61"/>
      <c r="F5" s="61"/>
      <c r="G5" s="60"/>
      <c r="H5" s="60"/>
      <c r="I5" s="60"/>
      <c r="J5" s="60"/>
      <c r="K5" s="60"/>
      <c r="L5" s="60"/>
      <c r="M5" s="60"/>
    </row>
    <row r="6" spans="1:13" x14ac:dyDescent="0.25">
      <c r="A6" s="58"/>
    </row>
    <row r="7" spans="1:13" x14ac:dyDescent="0.25">
      <c r="A7" s="57" t="s">
        <v>44</v>
      </c>
      <c r="B7" s="56"/>
      <c r="C7" s="56"/>
      <c r="D7" s="56"/>
      <c r="E7" s="56"/>
      <c r="F7" s="56"/>
    </row>
    <row r="8" spans="1:13" x14ac:dyDescent="0.25">
      <c r="A8" s="44"/>
    </row>
    <row r="9" spans="1:13" x14ac:dyDescent="0.25">
      <c r="A9" s="44" t="s">
        <v>43</v>
      </c>
      <c r="B9" s="51"/>
      <c r="C9" s="50"/>
      <c r="D9" s="49"/>
      <c r="F9" s="55"/>
    </row>
    <row r="10" spans="1:13" x14ac:dyDescent="0.25">
      <c r="A10" s="44"/>
      <c r="B10" s="54"/>
      <c r="C10" s="54"/>
      <c r="D10" s="54"/>
      <c r="F10" s="53"/>
    </row>
    <row r="11" spans="1:13" x14ac:dyDescent="0.25">
      <c r="A11" s="44"/>
      <c r="B11" s="51"/>
      <c r="C11" s="50"/>
      <c r="D11" s="49"/>
      <c r="F11" s="53"/>
      <c r="H11" s="1" t="s">
        <v>68</v>
      </c>
    </row>
    <row r="12" spans="1:13" x14ac:dyDescent="0.25">
      <c r="A12" s="6"/>
    </row>
    <row r="13" spans="1:13" x14ac:dyDescent="0.25">
      <c r="A13" s="44" t="s">
        <v>42</v>
      </c>
      <c r="B13" s="52"/>
      <c r="C13" s="52"/>
      <c r="D13" s="52"/>
      <c r="E13" s="52"/>
      <c r="F13" s="52"/>
    </row>
    <row r="14" spans="1:13" x14ac:dyDescent="0.25">
      <c r="A14" s="44"/>
    </row>
    <row r="15" spans="1:13" x14ac:dyDescent="0.25">
      <c r="A15" s="44" t="s">
        <v>41</v>
      </c>
      <c r="B15" s="51"/>
      <c r="C15" s="50"/>
      <c r="D15" s="50"/>
      <c r="E15" s="50"/>
      <c r="F15" s="49"/>
    </row>
    <row r="16" spans="1:13" x14ac:dyDescent="0.25">
      <c r="A16" s="44"/>
    </row>
    <row r="17" spans="1:6" x14ac:dyDescent="0.25">
      <c r="A17" s="44" t="s">
        <v>40</v>
      </c>
      <c r="B17" s="48"/>
      <c r="C17" s="47"/>
      <c r="D17" s="47"/>
      <c r="E17" s="47"/>
      <c r="F17" s="46"/>
    </row>
    <row r="18" spans="1:6" x14ac:dyDescent="0.25">
      <c r="A18" s="44"/>
    </row>
    <row r="19" spans="1:6" ht="33.75" customHeight="1" x14ac:dyDescent="0.25">
      <c r="A19" s="45" t="s">
        <v>128</v>
      </c>
      <c r="B19" s="45"/>
      <c r="C19" s="45"/>
      <c r="D19" s="45"/>
      <c r="E19" s="45"/>
      <c r="F19" s="45"/>
    </row>
    <row r="20" spans="1:6" x14ac:dyDescent="0.25">
      <c r="A20" s="6"/>
    </row>
    <row r="21" spans="1:6" x14ac:dyDescent="0.25">
      <c r="A21" s="44" t="s">
        <v>38</v>
      </c>
    </row>
    <row r="22" spans="1:6" x14ac:dyDescent="0.25">
      <c r="A22" s="44" t="s">
        <v>37</v>
      </c>
    </row>
    <row r="23" spans="1:6" x14ac:dyDescent="0.25">
      <c r="A23" s="44" t="s">
        <v>36</v>
      </c>
    </row>
    <row r="24" spans="1:6" x14ac:dyDescent="0.25">
      <c r="A24" s="44" t="s">
        <v>35</v>
      </c>
    </row>
    <row r="25" spans="1:6" x14ac:dyDescent="0.25">
      <c r="A25" s="6"/>
    </row>
    <row r="26" spans="1:6" ht="60" x14ac:dyDescent="0.25">
      <c r="A26" s="43" t="s">
        <v>34</v>
      </c>
      <c r="B26" s="42" t="s">
        <v>32</v>
      </c>
      <c r="C26" s="42" t="s">
        <v>31</v>
      </c>
      <c r="D26" s="42" t="s">
        <v>30</v>
      </c>
      <c r="E26" s="42" t="s">
        <v>29</v>
      </c>
      <c r="F26" s="41" t="s">
        <v>33</v>
      </c>
    </row>
    <row r="27" spans="1:6" ht="17.25" hidden="1" customHeight="1" x14ac:dyDescent="0.25">
      <c r="A27" s="40"/>
      <c r="B27" s="39" t="s">
        <v>32</v>
      </c>
      <c r="C27" s="39" t="s">
        <v>31</v>
      </c>
      <c r="D27" s="39" t="s">
        <v>30</v>
      </c>
      <c r="E27" s="39" t="s">
        <v>29</v>
      </c>
      <c r="F27" s="38"/>
    </row>
    <row r="28" spans="1:6" s="35" customFormat="1" ht="30" x14ac:dyDescent="0.25">
      <c r="A28" s="34" t="s">
        <v>127</v>
      </c>
      <c r="B28" s="27">
        <v>3</v>
      </c>
      <c r="C28" s="27"/>
      <c r="D28" s="27"/>
      <c r="E28" s="27"/>
      <c r="F28" s="36"/>
    </row>
    <row r="29" spans="1:6" s="35" customFormat="1" ht="30" x14ac:dyDescent="0.25">
      <c r="A29" s="34" t="s">
        <v>126</v>
      </c>
      <c r="B29" s="27">
        <v>3</v>
      </c>
      <c r="C29" s="27"/>
      <c r="D29" s="27"/>
      <c r="E29" s="27"/>
      <c r="F29" s="36"/>
    </row>
    <row r="30" spans="1:6" s="35" customFormat="1" ht="30" x14ac:dyDescent="0.25">
      <c r="A30" s="34" t="s">
        <v>125</v>
      </c>
      <c r="B30" s="27">
        <v>3</v>
      </c>
      <c r="C30" s="27"/>
      <c r="D30" s="27"/>
      <c r="E30" s="27"/>
      <c r="F30" s="36"/>
    </row>
    <row r="31" spans="1:6" s="35" customFormat="1" ht="30" x14ac:dyDescent="0.25">
      <c r="A31" s="34" t="s">
        <v>124</v>
      </c>
      <c r="B31" s="27">
        <v>3</v>
      </c>
      <c r="C31" s="27"/>
      <c r="D31" s="27"/>
      <c r="E31" s="27"/>
      <c r="F31" s="36"/>
    </row>
    <row r="32" spans="1:6" s="35" customFormat="1" ht="30" x14ac:dyDescent="0.25">
      <c r="A32" s="34" t="s">
        <v>123</v>
      </c>
      <c r="B32" s="27">
        <v>3</v>
      </c>
      <c r="C32" s="27"/>
      <c r="D32" s="27"/>
      <c r="E32" s="27"/>
      <c r="F32" s="36"/>
    </row>
    <row r="33" spans="1:6" s="35" customFormat="1" ht="30" x14ac:dyDescent="0.25">
      <c r="A33" s="34" t="s">
        <v>122</v>
      </c>
      <c r="B33" s="27">
        <v>3</v>
      </c>
      <c r="C33" s="27"/>
      <c r="D33" s="27"/>
      <c r="E33" s="27"/>
      <c r="F33" s="36"/>
    </row>
    <row r="34" spans="1:6" s="35" customFormat="1" ht="30" x14ac:dyDescent="0.25">
      <c r="A34" s="34" t="s">
        <v>121</v>
      </c>
      <c r="B34" s="27">
        <v>3</v>
      </c>
      <c r="C34" s="27"/>
      <c r="D34" s="27"/>
      <c r="E34" s="27"/>
      <c r="F34" s="36"/>
    </row>
    <row r="35" spans="1:6" s="35" customFormat="1" ht="30" x14ac:dyDescent="0.25">
      <c r="A35" s="34" t="s">
        <v>120</v>
      </c>
      <c r="B35" s="27">
        <v>3</v>
      </c>
      <c r="C35" s="27"/>
      <c r="D35" s="27"/>
      <c r="E35" s="27"/>
      <c r="F35" s="36"/>
    </row>
    <row r="36" spans="1:6" s="35" customFormat="1" ht="30" x14ac:dyDescent="0.25">
      <c r="A36" s="34" t="s">
        <v>119</v>
      </c>
      <c r="B36" s="27">
        <v>3</v>
      </c>
      <c r="C36" s="27"/>
      <c r="D36" s="27"/>
      <c r="E36" s="27"/>
      <c r="F36" s="36"/>
    </row>
    <row r="37" spans="1:6" s="35" customFormat="1" ht="30" x14ac:dyDescent="0.25">
      <c r="A37" s="34" t="s">
        <v>118</v>
      </c>
      <c r="B37" s="27">
        <v>3</v>
      </c>
      <c r="C37" s="27"/>
      <c r="D37" s="27"/>
      <c r="E37" s="27"/>
      <c r="F37" s="36"/>
    </row>
    <row r="38" spans="1:6" s="35" customFormat="1" ht="30" x14ac:dyDescent="0.25">
      <c r="A38" s="34" t="s">
        <v>117</v>
      </c>
      <c r="B38" s="27">
        <v>3</v>
      </c>
      <c r="C38" s="27"/>
      <c r="D38" s="27"/>
      <c r="E38" s="27"/>
      <c r="F38" s="36"/>
    </row>
    <row r="39" spans="1:6" s="35" customFormat="1" x14ac:dyDescent="0.25">
      <c r="A39" s="34" t="s">
        <v>116</v>
      </c>
      <c r="B39" s="27">
        <v>3</v>
      </c>
      <c r="C39" s="27"/>
      <c r="D39" s="27"/>
      <c r="E39" s="27"/>
      <c r="F39" s="36"/>
    </row>
    <row r="40" spans="1:6" s="35" customFormat="1" ht="36.75" customHeight="1" x14ac:dyDescent="0.25">
      <c r="A40" s="34" t="s">
        <v>115</v>
      </c>
      <c r="B40" s="27">
        <v>3</v>
      </c>
      <c r="C40" s="27"/>
      <c r="D40" s="27"/>
      <c r="E40" s="27"/>
      <c r="F40" s="36"/>
    </row>
    <row r="41" spans="1:6" s="35" customFormat="1" x14ac:dyDescent="0.25">
      <c r="A41" s="34" t="s">
        <v>114</v>
      </c>
      <c r="B41" s="27">
        <v>3</v>
      </c>
      <c r="C41" s="27"/>
      <c r="D41" s="27"/>
      <c r="E41" s="27"/>
      <c r="F41" s="36"/>
    </row>
    <row r="42" spans="1:6" ht="30" x14ac:dyDescent="0.25">
      <c r="A42" s="34" t="s">
        <v>113</v>
      </c>
      <c r="B42" s="27">
        <v>3</v>
      </c>
      <c r="C42" s="33"/>
      <c r="D42" s="33"/>
      <c r="E42" s="33"/>
      <c r="F42" s="33"/>
    </row>
    <row r="43" spans="1:6" ht="39" customHeight="1" x14ac:dyDescent="0.25">
      <c r="A43" s="34" t="s">
        <v>112</v>
      </c>
      <c r="B43" s="27">
        <v>3</v>
      </c>
      <c r="C43" s="31"/>
      <c r="D43" s="31"/>
      <c r="E43" s="31"/>
      <c r="F43" s="31"/>
    </row>
    <row r="44" spans="1:6" ht="45" x14ac:dyDescent="0.25">
      <c r="A44" s="34" t="s">
        <v>111</v>
      </c>
      <c r="B44" s="27">
        <v>3</v>
      </c>
      <c r="C44" s="29"/>
      <c r="D44" s="29"/>
      <c r="E44" s="29"/>
      <c r="F44" s="29"/>
    </row>
    <row r="45" spans="1:6" ht="30" x14ac:dyDescent="0.25">
      <c r="A45" s="34" t="s">
        <v>110</v>
      </c>
      <c r="B45" s="27">
        <v>3</v>
      </c>
      <c r="C45" s="29"/>
      <c r="D45" s="29"/>
      <c r="E45" s="29"/>
      <c r="F45" s="29"/>
    </row>
    <row r="46" spans="1:6" ht="30" x14ac:dyDescent="0.25">
      <c r="A46" s="34" t="s">
        <v>109</v>
      </c>
      <c r="B46" s="27">
        <v>3</v>
      </c>
      <c r="C46" s="29"/>
      <c r="D46" s="29"/>
      <c r="E46" s="29"/>
      <c r="F46" s="29"/>
    </row>
    <row r="47" spans="1:6" ht="30" x14ac:dyDescent="0.25">
      <c r="A47" s="34" t="s">
        <v>108</v>
      </c>
      <c r="B47" s="27">
        <v>3</v>
      </c>
      <c r="C47" s="29"/>
      <c r="D47" s="29"/>
      <c r="E47" s="29"/>
      <c r="F47" s="29"/>
    </row>
    <row r="48" spans="1:6" ht="30" x14ac:dyDescent="0.25">
      <c r="A48" s="34" t="s">
        <v>107</v>
      </c>
      <c r="B48" s="27">
        <v>3</v>
      </c>
    </row>
    <row r="49" spans="1:6" ht="30" x14ac:dyDescent="0.25">
      <c r="A49" s="34" t="s">
        <v>106</v>
      </c>
      <c r="B49" s="27">
        <v>3</v>
      </c>
      <c r="C49" s="29"/>
      <c r="D49" s="29"/>
      <c r="E49" s="29"/>
      <c r="F49" s="29"/>
    </row>
    <row r="50" spans="1:6" ht="30" x14ac:dyDescent="0.25">
      <c r="A50" s="34" t="s">
        <v>105</v>
      </c>
      <c r="B50" s="27">
        <v>3</v>
      </c>
      <c r="C50" s="29"/>
      <c r="D50" s="29"/>
      <c r="E50" s="29"/>
      <c r="F50" s="29"/>
    </row>
    <row r="51" spans="1:6" ht="30" x14ac:dyDescent="0.25">
      <c r="A51" s="34" t="s">
        <v>104</v>
      </c>
      <c r="B51" s="27">
        <v>3</v>
      </c>
      <c r="C51" s="29"/>
      <c r="D51" s="29"/>
      <c r="E51" s="29"/>
      <c r="F51" s="29"/>
    </row>
    <row r="52" spans="1:6" x14ac:dyDescent="0.25">
      <c r="A52" s="34" t="s">
        <v>103</v>
      </c>
      <c r="B52" s="27">
        <v>3</v>
      </c>
      <c r="C52" s="29"/>
      <c r="D52" s="29"/>
      <c r="E52" s="29"/>
      <c r="F52" s="29"/>
    </row>
    <row r="53" spans="1:6" x14ac:dyDescent="0.25">
      <c r="A53" s="34" t="s">
        <v>102</v>
      </c>
      <c r="B53" s="27">
        <v>3</v>
      </c>
      <c r="C53" s="29"/>
      <c r="D53" s="29"/>
      <c r="E53" s="29"/>
      <c r="F53" s="29"/>
    </row>
    <row r="54" spans="1:6" ht="30" x14ac:dyDescent="0.25">
      <c r="A54" s="34" t="s">
        <v>101</v>
      </c>
      <c r="B54" s="27">
        <v>3</v>
      </c>
      <c r="C54" s="29"/>
      <c r="D54" s="29"/>
      <c r="E54" s="29"/>
      <c r="F54" s="29"/>
    </row>
    <row r="55" spans="1:6" ht="30" x14ac:dyDescent="0.25">
      <c r="A55" s="34" t="s">
        <v>100</v>
      </c>
      <c r="B55" s="27">
        <v>3</v>
      </c>
      <c r="C55" s="29"/>
      <c r="D55" s="29"/>
      <c r="E55" s="29"/>
      <c r="F55" s="29"/>
    </row>
    <row r="56" spans="1:6" ht="4.5" customHeight="1" x14ac:dyDescent="0.25">
      <c r="A56" s="25"/>
      <c r="B56" s="24"/>
      <c r="C56" s="24"/>
      <c r="D56" s="24"/>
      <c r="E56" s="24"/>
      <c r="F56" s="23"/>
    </row>
    <row r="57" spans="1:6" x14ac:dyDescent="0.25">
      <c r="A57" s="16" t="s">
        <v>7</v>
      </c>
      <c r="B57" s="22">
        <f>SUM(B28:B56)</f>
        <v>84</v>
      </c>
      <c r="C57" s="68"/>
      <c r="D57" s="67"/>
      <c r="E57" s="67"/>
      <c r="F57" s="19"/>
    </row>
    <row r="58" spans="1:6" x14ac:dyDescent="0.25">
      <c r="A58" s="16" t="s">
        <v>6</v>
      </c>
      <c r="B58" s="18">
        <f>B57/84*100</f>
        <v>100</v>
      </c>
      <c r="C58" s="14"/>
      <c r="D58" s="13"/>
      <c r="E58" s="13"/>
      <c r="F58" s="17"/>
    </row>
    <row r="59" spans="1:6" x14ac:dyDescent="0.25">
      <c r="A59" s="16" t="s">
        <v>5</v>
      </c>
      <c r="B59" s="15">
        <f>(B58*0.5)</f>
        <v>50</v>
      </c>
      <c r="C59" s="14"/>
      <c r="D59" s="13"/>
      <c r="E59" s="13"/>
    </row>
    <row r="60" spans="1:6" x14ac:dyDescent="0.25">
      <c r="A60" s="2" t="s">
        <v>72</v>
      </c>
    </row>
    <row r="61" spans="1:6" x14ac:dyDescent="0.25">
      <c r="A61" s="12"/>
      <c r="B61" s="11"/>
      <c r="C61" s="11"/>
      <c r="D61" s="11"/>
      <c r="E61" s="11"/>
      <c r="F61" s="10"/>
    </row>
    <row r="62" spans="1:6" ht="37.5" customHeight="1" x14ac:dyDescent="0.25">
      <c r="A62" s="9"/>
      <c r="B62" s="8"/>
      <c r="C62" s="8"/>
      <c r="D62" s="8"/>
      <c r="E62" s="8"/>
      <c r="F62" s="7"/>
    </row>
    <row r="63" spans="1:6" x14ac:dyDescent="0.25">
      <c r="A63" s="6"/>
    </row>
    <row r="64" spans="1:6" x14ac:dyDescent="0.25">
      <c r="A64" s="2" t="s">
        <v>3</v>
      </c>
      <c r="B64" s="5" t="s">
        <v>2</v>
      </c>
      <c r="C64" s="5"/>
      <c r="D64" s="5"/>
      <c r="E64" s="5"/>
    </row>
    <row r="65" spans="1:5" x14ac:dyDescent="0.25">
      <c r="A65" s="2"/>
    </row>
    <row r="66" spans="1:5" x14ac:dyDescent="0.25">
      <c r="A66" s="2" t="s">
        <v>71</v>
      </c>
      <c r="C66" s="2"/>
      <c r="D66" s="5"/>
      <c r="E66" s="5"/>
    </row>
    <row r="67" spans="1:5" x14ac:dyDescent="0.25">
      <c r="A67" s="2"/>
    </row>
  </sheetData>
  <mergeCells count="16">
    <mergeCell ref="A61:F62"/>
    <mergeCell ref="D66:E66"/>
    <mergeCell ref="B13:F13"/>
    <mergeCell ref="B15:F15"/>
    <mergeCell ref="B17:F17"/>
    <mergeCell ref="A19:F19"/>
    <mergeCell ref="A26:A27"/>
    <mergeCell ref="F26:F27"/>
    <mergeCell ref="C57:E59"/>
    <mergeCell ref="B64:E64"/>
    <mergeCell ref="B11:D11"/>
    <mergeCell ref="A2:F2"/>
    <mergeCell ref="A3:F3"/>
    <mergeCell ref="A4:F4"/>
    <mergeCell ref="B7:F7"/>
    <mergeCell ref="B9:D9"/>
  </mergeCells>
  <pageMargins left="0.70866141732283472" right="0.70866141732283472" top="0.74803149606299213" bottom="0.74803149606299213" header="0.31496062992125984" footer="0.31496062992125984"/>
  <pageSetup scale="48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ExpoTEC-9 Exp plan negocio</vt:lpstr>
      <vt:lpstr>ExpoTEC-8 Exp modelo negocio</vt:lpstr>
      <vt:lpstr>ExpoTEC-11 Doc escrit mod negoc</vt:lpstr>
      <vt:lpstr>ExpoTEC-12 Doc escri plan nego </vt:lpstr>
      <vt:lpstr>'ExpoTEC-11 Doc escrit mod negoc'!Área_de_impresión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Derian Acuña Rojas</dc:creator>
  <cp:lastModifiedBy>Derian Acuña Rojas</cp:lastModifiedBy>
  <dcterms:created xsi:type="dcterms:W3CDTF">2026-07-31T18:41:37Z</dcterms:created>
  <dcterms:modified xsi:type="dcterms:W3CDTF">2026-07-31T18:43:37Z</dcterms:modified>
</cp:coreProperties>
</file>