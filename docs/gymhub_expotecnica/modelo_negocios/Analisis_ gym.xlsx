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Resumen Ejecutivo" sheetId="1" state="visible" r:id="rId1"/>
    <sheet name="Clientes e Ingresos" sheetId="2" state="visible" r:id="rId2"/>
    <sheet name="Egresos e Inversión" sheetId="3" state="visible" r:id="rId3"/>
    <sheet name="Punto de Equilibrio" sheetId="4" state="visible" r:id="rId4"/>
    <sheet name="Estados Financieros" sheetId="5" state="visible" r:id="rId5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&quot;₡&quot;#,##0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1F4E78"/>
      <sz val="16"/>
    </font>
    <font>
      <name val="Calibri"/>
      <i val="1"/>
      <color rgb="FF595959"/>
      <sz val="11"/>
    </font>
    <font>
      <name val="Calibri"/>
      <b val="1"/>
      <color rgb="FF595959"/>
      <sz val="9"/>
    </font>
    <font>
      <name val="Calibri"/>
      <b val="1"/>
      <color rgb="FF1F4E78"/>
      <sz val="18"/>
    </font>
    <font>
      <name val="Calibri"/>
      <b val="1"/>
      <color rgb="FF1F4E78"/>
      <sz val="13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1F1F1F"/>
      <sz val="11"/>
    </font>
    <font>
      <name val="Calibri"/>
      <family val="2"/>
      <color rgb="FF1F1F1F"/>
      <sz val="11"/>
    </font>
  </fonts>
  <fills count="6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7" fillId="4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/>
    </xf>
    <xf numFmtId="0" fontId="8" fillId="0" borderId="3" pivotButton="0" quotePrefix="0" xfId="0"/>
    <xf numFmtId="3" fontId="0" fillId="0" borderId="3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right" vertical="center"/>
    </xf>
    <xf numFmtId="164" fontId="8" fillId="0" borderId="3" applyAlignment="1" pivotButton="0" quotePrefix="0" xfId="0">
      <alignment horizontal="right" vertical="center"/>
    </xf>
    <xf numFmtId="0" fontId="7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right" vertical="center"/>
    </xf>
    <xf numFmtId="0" fontId="6" fillId="0" borderId="1" pivotButton="0" quotePrefix="0" xfId="0"/>
    <xf numFmtId="0" fontId="0" fillId="0" borderId="3" pivotButton="0" quotePrefix="0" xfId="0"/>
    <xf numFmtId="164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3" fontId="8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8" fillId="0" borderId="0" pivotButton="0" quotePrefix="0" xfId="0"/>
    <xf numFmtId="164" fontId="8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5" borderId="1" pivotButton="0" quotePrefix="0" xfId="0"/>
    <xf numFmtId="165" fontId="6" fillId="5" borderId="1" applyAlignment="1" pivotButton="0" quotePrefix="0" xfId="0">
      <alignment horizontal="right" vertical="center"/>
    </xf>
    <xf numFmtId="165" fontId="8" fillId="2" borderId="1" applyAlignment="1" pivotButton="0" quotePrefix="0" xfId="0">
      <alignment horizontal="right" vertical="center"/>
    </xf>
    <xf numFmtId="0" fontId="8" fillId="2" borderId="3" pivotButton="0" quotePrefix="0" xfId="0"/>
    <xf numFmtId="164" fontId="8" fillId="2" borderId="3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7" fillId="4" borderId="0" pivotButton="0" quotePrefix="0" xfId="0"/>
    <xf numFmtId="0" fontId="7" fillId="4" borderId="0" applyAlignment="1" pivotButton="0" quotePrefix="0" xfId="0">
      <alignment horizontal="right" vertical="center"/>
    </xf>
    <xf numFmtId="0" fontId="8" fillId="3" borderId="1" pivotButton="0" quotePrefix="0" xfId="0"/>
    <xf numFmtId="0" fontId="0" fillId="3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3" borderId="1" applyAlignment="1" pivotButton="0" quotePrefix="0" xfId="0">
      <alignment horizontal="left" vertical="top" wrapText="1"/>
    </xf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6" fillId="0" borderId="1" pivotButton="0" quotePrefix="0" xfId="0"/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9" fillId="5" borderId="1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costos completos por mes</a:t>
            </a:r>
          </a:p>
        </rich>
      </tx>
    </title>
    <plotArea>
      <layout/>
      <lineChart>
        <grouping val="standard"/>
        <varyColors val="0"/>
        <ser>
          <idx val="0"/>
          <order val="0"/>
          <tx>
            <strRef>
              <f>'Clientes e Ingresos'!$H$5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'Clientes e Ingresos'!$B$6:$B$17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'Clientes e Ingresos'!$H$6:$H$17</f>
              <numCache>
                <formatCode>#,##0.00</formatCode>
                <ptCount val="12"/>
                <pt idx="0">
                  <v>115000</v>
                </pt>
                <pt idx="1">
                  <v>140000</v>
                </pt>
                <pt idx="2">
                  <v>165000</v>
                </pt>
                <pt idx="3">
                  <v>190000</v>
                </pt>
                <pt idx="4">
                  <v>215000</v>
                </pt>
                <pt idx="5">
                  <v>215000</v>
                </pt>
                <pt idx="6">
                  <v>240000</v>
                </pt>
                <pt idx="7">
                  <v>265000</v>
                </pt>
                <pt idx="8">
                  <v>290000</v>
                </pt>
                <pt idx="9">
                  <v>290000</v>
                </pt>
                <pt idx="10">
                  <v>315000</v>
                </pt>
                <pt idx="11">
                  <v>340000</v>
                </pt>
              </numCache>
            </numRef>
          </val>
          <smooth val="0"/>
        </ser>
        <ser>
          <idx val="1"/>
          <order val="1"/>
          <tx>
            <strRef>
              <f>'Egresos e Inversión'!$F$34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'Clientes e Ingresos'!$B$6:$B$17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'Estados Financieros'!$C$15:$N$15</f>
              <numCache>
                <formatCode>#,##0.00</formatCode>
                <ptCount val="12"/>
                <pt idx="0">
                  <v>785607.79</v>
                </pt>
                <pt idx="1">
                  <v>148558.2</v>
                </pt>
                <pt idx="2">
                  <v>151508.61</v>
                </pt>
                <pt idx="3">
                  <v>164459.02</v>
                </pt>
                <pt idx="4">
                  <v>167409.43</v>
                </pt>
                <pt idx="5">
                  <v>167409.43</v>
                </pt>
                <pt idx="6">
                  <v>170359.84</v>
                </pt>
                <pt idx="7">
                  <v>175810.25</v>
                </pt>
                <pt idx="8">
                  <v>178760.66</v>
                </pt>
                <pt idx="9">
                  <v>178760.66</v>
                </pt>
                <pt idx="10">
                  <v>181711.07</v>
                </pt>
                <pt idx="11">
                  <v>184661.48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Meses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Colones (₡)</a:t>
                </a:r>
              </a:p>
            </rich>
          </tx>
          <overlay val="0"/>
        </title>
        <numFmt formatCode="&quot;₡&quot;#\ 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Saldo acumulado con financiamiento inicial</a:t>
            </a:r>
          </a:p>
        </rich>
      </tx>
    </title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'Estados Financieros'!$C$6:$N$6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'Estados Financieros'!$C$17:$N$17</f>
              <numCache>
                <formatCode>#,##0.00</formatCode>
                <ptCount val="12"/>
                <pt idx="0">
                  <v>8558.199999999953</v>
                </pt>
                <pt idx="1">
                  <v>-5.820766091346741e-11</v>
                </pt>
                <pt idx="2">
                  <v>13491.38999999996</v>
                </pt>
                <pt idx="3">
                  <v>39032.36999999994</v>
                </pt>
                <pt idx="4">
                  <v>86622.93999999994</v>
                </pt>
                <pt idx="5">
                  <v>134213.51</v>
                </pt>
                <pt idx="6">
                  <v>203853.67</v>
                </pt>
                <pt idx="7">
                  <v>293043.4199999999</v>
                </pt>
                <pt idx="8">
                  <v>404282.7599999999</v>
                </pt>
                <pt idx="9">
                  <v>515522.0999999999</v>
                </pt>
                <pt idx="10">
                  <v>648811.0299999998</v>
                </pt>
                <pt idx="11">
                  <v>804149.5499999998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Meses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Saldo en Caja (₡)</a:t>
                </a:r>
              </a:p>
            </rich>
          </tx>
          <overlay val="0"/>
        </title>
        <numFmt formatCode="&quot;₡&quot;#\ ##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Pulso</author>
  </authors>
  <commentList>
    <comment ref="B9" authorId="0" shapeId="0">
      <text>
        <t>Precios y alcance: Modelo de Costeo y Precio.xlsx, catálogo C5:C12; Costeo B22:E23, B28, E90, B36:E47. Los ₡90 000/₡180 000 son costos internos de instalación avanzada; ₡129 000/₡258 000 son precios calculados con margen de 30% y redondeo. Supabase dedicado obligatorio para Premium y Enterprise. El Word es la base histórica: sus reservas de ₡750 y precios/capacidades anteriores fueron reemplazados por el análisis posterior del mismo directorio.
Variables base por gimnasio/mes: Starter ₡2 681,15; Pro Gym ₡2 950,41; Premium ₡16 123,56; Enterprise ₡24 745,48, antes de excedentes de cartera. Fuente: Costeo B129:E129. Modelo independiente: referencias de origen en notas, sin vínculos externos de Excel. Cambiar precios/alcance requiere sincronizar los supuestos en las fórmulas.</t>
      </text>
    </comment>
  </commentList>
</comments>
</file>

<file path=xl/comments/comment2.xml><?xml version="1.0" encoding="utf-8"?>
<comments xmlns="http://schemas.openxmlformats.org/spreadsheetml/2006/main">
  <authors>
    <author>Pulso</author>
  </authors>
  <commentList>
    <comment ref="D6" authorId="0" shapeId="0">
      <text>
        <t>Fuente: Modelo de Costeo y Precio.xlsx; PPTO Vtas Servicios!C11.
Altas básicas: 5 en mes 1; después 1 Pro Gym por mes. Es una proyección, no contratos confirmados.</t>
      </text>
    </comment>
    <comment ref="E6" authorId="0" shapeId="0">
      <text>
        <t>Fuente: Modelo de Costeo y Precio.xlsx; PPTO Vtas Servicios!C7:N10.
Bajas proyectadas de Pro Gym en meses 6 y 10; no se aplica un porcentaje de churn ficticio.</t>
      </text>
    </comment>
    <comment ref="G6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7" authorId="0" shapeId="0">
      <text>
        <t>Fuente: Modelo de Costeo y Precio.xlsx; PPTO Vtas Servicios!D11.
Altas básicas: 5 en mes 1; después 1 Pro Gym por mes. Es una proyección, no contratos confirmados.</t>
      </text>
    </comment>
    <comment ref="E7" authorId="0" shapeId="0">
      <text>
        <t>Fuente: Modelo de Costeo y Precio.xlsx; PPTO Vtas Servicios!C7:N10.
Bajas proyectadas de Pro Gym en meses 6 y 10; no se aplica un porcentaje de churn ficticio.</t>
      </text>
    </comment>
    <comment ref="G7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8" authorId="0" shapeId="0">
      <text>
        <t>Fuente: Modelo de Costeo y Precio.xlsx; PPTO Vtas Servicios!E11.
Altas básicas: 5 en mes 1; después 1 Pro Gym por mes. Es una proyección, no contratos confirmados.</t>
      </text>
    </comment>
    <comment ref="E8" authorId="0" shapeId="0">
      <text>
        <t>Fuente: Modelo de Costeo y Precio.xlsx; PPTO Vtas Servicios!C7:N10.
Bajas proyectadas de Pro Gym en meses 6 y 10; no se aplica un porcentaje de churn ficticio.</t>
      </text>
    </comment>
    <comment ref="G8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9" authorId="0" shapeId="0">
      <text>
        <t>Fuente: Modelo de Costeo y Precio.xlsx; PPTO Vtas Servicios!F11.
Altas básicas: 5 en mes 1; después 1 Pro Gym por mes. Es una proyección, no contratos confirmados.</t>
      </text>
    </comment>
    <comment ref="E9" authorId="0" shapeId="0">
      <text>
        <t>Fuente: Modelo de Costeo y Precio.xlsx; PPTO Vtas Servicios!C7:N10.
Bajas proyectadas de Pro Gym en meses 6 y 10; no se aplica un porcentaje de churn ficticio.</t>
      </text>
    </comment>
    <comment ref="G9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0" authorId="0" shapeId="0">
      <text>
        <t>Fuente: Modelo de Costeo y Precio.xlsx; PPTO Vtas Servicios!G11.
Altas básicas: 5 en mes 1; después 1 Pro Gym por mes. Es una proyección, no contratos confirmados.</t>
      </text>
    </comment>
    <comment ref="E10" authorId="0" shapeId="0">
      <text>
        <t>Fuente: Modelo de Costeo y Precio.xlsx; PPTO Vtas Servicios!C7:N10.
Bajas proyectadas de Pro Gym en meses 6 y 10; no se aplica un porcentaje de churn ficticio.</t>
      </text>
    </comment>
    <comment ref="G10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1" authorId="0" shapeId="0">
      <text>
        <t>Fuente: Modelo de Costeo y Precio.xlsx; PPTO Vtas Servicios!H11.
Altas básicas: 5 en mes 1; después 1 Pro Gym por mes. Es una proyección, no contratos confirmados.</t>
      </text>
    </comment>
    <comment ref="E11" authorId="0" shapeId="0">
      <text>
        <t>Fuente: Modelo de Costeo y Precio.xlsx; PPTO Vtas Servicios!C7:N10.
Bajas proyectadas de Pro Gym en meses 6 y 10; no se aplica un porcentaje de churn ficticio.</t>
      </text>
    </comment>
    <comment ref="G11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2" authorId="0" shapeId="0">
      <text>
        <t>Fuente: Modelo de Costeo y Precio.xlsx; PPTO Vtas Servicios!I11.
Altas básicas: 5 en mes 1; después 1 Pro Gym por mes. Es una proyección, no contratos confirmados.</t>
      </text>
    </comment>
    <comment ref="E12" authorId="0" shapeId="0">
      <text>
        <t>Fuente: Modelo de Costeo y Precio.xlsx; PPTO Vtas Servicios!C7:N10.
Bajas proyectadas de Pro Gym en meses 6 y 10; no se aplica un porcentaje de churn ficticio.</t>
      </text>
    </comment>
    <comment ref="G12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3" authorId="0" shapeId="0">
      <text>
        <t>Fuente: Modelo de Costeo y Precio.xlsx; PPTO Vtas Servicios!J11.
Altas básicas: 5 en mes 1; después 1 Pro Gym por mes. Es una proyección, no contratos confirmados.</t>
      </text>
    </comment>
    <comment ref="E13" authorId="0" shapeId="0">
      <text>
        <t>Fuente: Modelo de Costeo y Precio.xlsx; PPTO Vtas Servicios!C7:N10.
Bajas proyectadas de Pro Gym en meses 6 y 10; no se aplica un porcentaje de churn ficticio.</t>
      </text>
    </comment>
    <comment ref="G13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4" authorId="0" shapeId="0">
      <text>
        <t>Fuente: Modelo de Costeo y Precio.xlsx; PPTO Vtas Servicios!K11.
Altas básicas: 5 en mes 1; después 1 Pro Gym por mes. Es una proyección, no contratos confirmados.</t>
      </text>
    </comment>
    <comment ref="E14" authorId="0" shapeId="0">
      <text>
        <t>Fuente: Modelo de Costeo y Precio.xlsx; PPTO Vtas Servicios!C7:N10.
Bajas proyectadas de Pro Gym en meses 6 y 10; no se aplica un porcentaje de churn ficticio.</t>
      </text>
    </comment>
    <comment ref="G14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5" authorId="0" shapeId="0">
      <text>
        <t>Fuente: Modelo de Costeo y Precio.xlsx; PPTO Vtas Servicios!L11.
Altas básicas: 5 en mes 1; después 1 Pro Gym por mes. Es una proyección, no contratos confirmados.</t>
      </text>
    </comment>
    <comment ref="E15" authorId="0" shapeId="0">
      <text>
        <t>Fuente: Modelo de Costeo y Precio.xlsx; PPTO Vtas Servicios!C7:N10.
Bajas proyectadas de Pro Gym en meses 6 y 10; no se aplica un porcentaje de churn ficticio.</t>
      </text>
    </comment>
    <comment ref="G15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6" authorId="0" shapeId="0">
      <text>
        <t>Fuente: Modelo de Costeo y Precio.xlsx; PPTO Vtas Servicios!M11.
Altas básicas: 5 en mes 1; después 1 Pro Gym por mes. Es una proyección, no contratos confirmados.</t>
      </text>
    </comment>
    <comment ref="E16" authorId="0" shapeId="0">
      <text>
        <t>Fuente: Modelo de Costeo y Precio.xlsx; PPTO Vtas Servicios!C7:N10.
Bajas proyectadas de Pro Gym en meses 6 y 10; no se aplica un porcentaje de churn ficticio.</t>
      </text>
    </comment>
    <comment ref="G16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7" authorId="0" shapeId="0">
      <text>
        <t>Fuente: Modelo de Costeo y Precio.xlsx; PPTO Vtas Servicios!N11.
Altas básicas: 5 en mes 1; después 1 Pro Gym por mes. Es una proyección, no contratos confirmados.</t>
      </text>
    </comment>
    <comment ref="E17" authorId="0" shapeId="0">
      <text>
        <t>Fuente: Modelo de Costeo y Precio.xlsx; PPTO Vtas Servicios!C7:N10.
Bajas proyectadas de Pro Gym en meses 6 y 10; no se aplica un porcentaje de churn ficticio.</t>
      </text>
    </comment>
    <comment ref="G17" authorId="0" shapeId="0">
      <text>
        <t>Fuente: Modelo de Costeo y Precio.xlsx; PPTO Vtas Productos!C5:C6.
Un Starter a ₡15 000 y los demás Pro Gym a ₡25 000. El precio medio cambia con la mezcla; no es un quinto plan.</t>
      </text>
    </comment>
  </commentList>
</comments>
</file>

<file path=xl/comments/comment3.xml><?xml version="1.0" encoding="utf-8"?>
<comments xmlns="http://schemas.openxmlformats.org/spreadsheetml/2006/main">
  <authors>
    <author>Pulso</author>
  </authors>
  <commentList>
    <comment ref="D7" authorId="0" shapeId="0">
      <text>
        <t>Fuente: Modelo de Costeo y Precio.xlsx; Costeo!B175.
Estimación de trabajo pendiente presupuestado; no afirma funcionalidad terminada. Reemplaza rubros de tiendas móviles ajenos al alcance web.</t>
      </text>
    </comment>
    <comment ref="D8" authorId="0" shapeId="0">
      <text>
        <t>Fuente: Modelo de Costeo y Precio.xlsx; Costeo!B176.
Estimación de trabajo pendiente presupuestado; no afirma funcionalidad terminada. Reemplaza rubros de tiendas móviles ajenos al alcance web.</t>
      </text>
    </comment>
    <comment ref="D9" authorId="0" shapeId="0">
      <text>
        <t>Fuente: Modelo de Costeo y Precio.xlsx; Costeo!B177:B178.
Estimación de trabajo pendiente presupuestado; no afirma funcionalidad terminada. Reemplaza rubros de tiendas móviles ajenos al alcance web.</t>
      </text>
    </comment>
    <comment ref="D10" authorId="0" shapeId="0">
      <text>
        <t>Fuente: Modelo de Costeo y Precio.xlsx; Costeo!B179.
Estimación de trabajo pendiente presupuestado; no afirma funcionalidad terminada. Reemplaza rubros de tiendas móviles ajenos al alcance web.</t>
      </text>
    </comment>
    <comment ref="D11" authorId="0" shapeId="0">
      <text>
        <t>Fuente: Modelo de Costeo y Precio.xlsx; Costeo!B180.
Estimación de trabajo pendiente presupuestado; no afirma funcionalidad terminada. Reemplaza rubros de tiendas móviles ajenos al alcance web.</t>
      </text>
    </comment>
    <comment ref="D17" authorId="0" shapeId="0">
      <text>
        <t>Fuente: Modelo de Costeo y Precio.xlsx; Costeo!E94:E98 y E104:E106.
Fijo común independiente del número de clientes; los excedentes se calculan aparte.</t>
      </text>
    </comment>
    <comment ref="D18" authorId="0" shapeId="0">
      <text>
        <t>Fuente: Modelo de Costeo y Precio.xlsx; Costeo!E103.
Fijo común independiente del número de clientes; los excedentes se calculan aparte.</t>
      </text>
    </comment>
    <comment ref="D19" authorId="0" shapeId="0">
      <text>
        <t>Fuente: Modelo de Costeo y Precio.xlsx; Costeo!E102.
Fijo común independiente del número de clientes; los excedentes se calculan aparte.</t>
      </text>
    </comment>
    <comment ref="D20" authorId="0" shapeId="0">
      <text>
        <t>Fuente: Modelo de Costeo y Precio.xlsx; Costeo!E99:E100.
Fijo común independiente del número de clientes; los excedentes se calculan aparte.</t>
      </text>
    </comment>
    <comment ref="D21" authorId="0" shapeId="0">
      <text>
        <t>Fuente: Modelo de Costeo y Precio.xlsx; Costeo!E101.
Fijo común independiente del número de clientes; los excedentes se calculan aparte.</t>
      </text>
    </comment>
    <comment ref="D27" authorId="0" shapeId="0">
      <text>
        <t xml:space="preserve">Fuente: Modelo de Costeo y Precio.xlsx; Costeo!B43:C43 y B50.
</t>
      </text>
    </comment>
    <comment ref="D28" authorId="0" shapeId="0">
      <text>
        <t>Fuente: Modelo de Costeo y Precio.xlsx; Costeo!B125:C127.
80/200 miembros; 2 correos por miembro + 20 administrativos/mes; 32 KB/correo; SES 0,16 USD/1 000 + 0,12 USD/GB. IA: 2 respuestas/miembro, 4 000 tokens entrada + 300 salida; 0,40/1,60 USD por millón; cambio 500. Escenario de uso, no consumo medido.</t>
      </text>
    </comment>
    <comment ref="D29" authorId="0" shapeId="0">
      <text>
        <t>Fuente: Modelo de Costeo y Precio.xlsx; Costeo!B72:B73.
No incluye recaudar las membresías de los gimnasios; si se usa pasarela debe incorporarse su tarifa.</t>
      </text>
    </comment>
    <comment ref="E35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
Tarifas y cuotas copiadas del modelo vigente: Supabase 100 GB storage, 250 GB egress, 8 GB disco; adicionales 0,0213/0,09/0,125 USD respectivamente. Compute compartido por miembros y CDN Vercel por solicitudes según Costeo B138:C138. Estos umbrales son supuestos de dimensionamiento y no pruebas de carga.</t>
      </text>
    </comment>
    <comment ref="E36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37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38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39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40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41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42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43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44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45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  <comment ref="E46" authorId="0" shapeId="0">
      <text>
        <t>Fuente: Modelo de Costeo y Precio.xlsx; Costeo!B129:C129; B22; B138:C149.
Incluye servicio variable por mezcla, instalación básica de cada alta (₡40 000 absorbidos) y excedentes/escalamiento calculados con las cuotas del modelo. La reserva genérica de ₡750 no se utiliza. Alcance de esta hoja: 1 Starter y resto Pro Gym, hasta 10 000 miembros.</t>
      </text>
    </comment>
  </commentList>
</comments>
</file>

<file path=xl/comments/comment4.xml><?xml version="1.0" encoding="utf-8"?>
<comments xmlns="http://schemas.openxmlformats.org/spreadsheetml/2006/main">
  <authors>
    <author>Pulso</author>
  </authors>
  <commentList>
    <comment ref="D12" authorId="0" shapeId="0">
      <text>
        <t>Fuente: Modelo de Costeo y Precio.xlsx; Costeo!B129:C129; PPTO Vtas Productos!C5:C6.
Resolución algebraica para 1 Starter + (n−1) Pro. El mínimo entero se verifica con el resultado de la tabla, incluyendo saltos de nube.</t>
      </text>
    </comment>
  </commentList>
</comments>
</file>

<file path=xl/comments/comment5.xml><?xml version="1.0" encoding="utf-8"?>
<comments xmlns="http://schemas.openxmlformats.org/spreadsheetml/2006/main">
  <authors>
    <author>Pulso</author>
  </authors>
  <commentList>
    <comment ref="C9" authorId="0" shapeId="0">
      <text>
        <t>Financiamiento económico máximo: déficit acumulado de ingresos menos todos los costos, antes de aporte. Supone pagar el trabajo propio. No equivale a una aportación ya confirmada.</t>
      </text>
    </comment>
    <comment ref="C38" authorId="0" shapeId="0">
      <text>
        <t>El modelo reconoce todo el desarrollo como costo del año para mantener consistencia con Modelo de Costeo y Precio.xlsx. No se registra simultáneamente un activo ni amortización de ese gasto.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M15"/>
  <sheetViews>
    <sheetView workbookViewId="0">
      <selection activeCell="B2" sqref="B2:M78"/>
    </sheetView>
  </sheetViews>
  <sheetFormatPr baseColWidth="10" defaultColWidth="8.88671875" defaultRowHeight="14.4"/>
  <cols>
    <col width="3" customWidth="1" min="1" max="1"/>
    <col width="24" customWidth="1" min="2" max="2"/>
    <col width="29" customWidth="1" min="3" max="3"/>
    <col width="12" customWidth="1" min="4" max="5"/>
    <col width="26" customWidth="1" min="6" max="6"/>
    <col width="12" customWidth="1" min="7" max="8"/>
    <col width="23" customWidth="1" min="9" max="9"/>
    <col width="12" customWidth="1" min="10" max="11"/>
    <col width="28" customWidth="1" min="12" max="12"/>
    <col width="12" customWidth="1" min="13" max="13"/>
  </cols>
  <sheetData>
    <row r="2" ht="21" customHeight="1">
      <c r="B2" s="1" t="inlineStr">
        <is>
          <t>PULSO: ANÁLISIS ECONÓMICO DEL SERVICIO SaaS</t>
        </is>
      </c>
    </row>
    <row r="3">
      <c r="B3" s="2" t="inlineStr">
        <is>
          <t>Escenario de 12 meses · Starter + Pro Gym · cifras CRC, antes de impuestos</t>
        </is>
      </c>
    </row>
    <row r="4">
      <c r="C4" s="43" t="inlineStr">
        <is>
          <t>GIMNASIOS AL CIERRE</t>
        </is>
      </c>
      <c r="D4" s="53" t="n"/>
      <c r="F4" s="43" t="inlineStr">
        <is>
          <t>INGRESOS TOTALES AÑO 1</t>
        </is>
      </c>
      <c r="G4" s="53" t="n"/>
      <c r="I4" s="43" t="inlineStr">
        <is>
          <t>EQUILIBRIO OPERATIVO</t>
        </is>
      </c>
      <c r="J4" s="53" t="n"/>
      <c r="L4" s="43" t="inlineStr">
        <is>
          <t>FINANCIAMIENTO REQUERIDO</t>
        </is>
      </c>
      <c r="M4" s="53" t="n"/>
    </row>
    <row r="5">
      <c r="C5" s="47">
        <f>'Clientes e Ingresos'!F17</f>
        <v>14.0</v>
      </c>
      <c r="D5" s="53" t="n"/>
      <c r="F5" s="46">
        <f>'Clientes e Ingresos'!H18</f>
        <v>2780000.0</v>
      </c>
      <c r="G5" s="53" t="n"/>
      <c r="I5" s="47">
        <f>'Punto de Equilibrio'!D13</f>
        <v>5</v>
      </c>
      <c r="J5" s="53" t="n"/>
      <c r="L5" s="46">
        <f>'Estados Financieros'!C9</f>
        <v>679165.99</v>
      </c>
      <c r="M5" s="53" t="n"/>
    </row>
    <row r="8" ht="17.4" customHeight="1">
      <c r="B8" s="3" t="inlineStr">
        <is>
          <t>RESUMEN DEL PROYECTO</t>
        </is>
      </c>
    </row>
    <row r="9">
      <c r="B9" s="45" t="str">
        <f>"Pulso es un servicio web para gestionar gimnasios. Escenario comercial proyectado, no ventas confirmadas."&amp;CHAR(10)&amp;CHAR(10)&amp;"• Starter ₡15 000; Pro Gym ₡25 000; Premium dedicado ₡45 000; Enterprise desde ₡70 000."&amp;CHAR(10)&amp;"• Cartera: 1 Starter y el resto Pro; "&amp;'Clientes e Ingresos'!F17&amp;" activos al cierre. Instalación básica: ₡40 000 por alta, absorbidos por Pulso."&amp;CHAR(10)&amp;"• Fijo común: ₡"&amp;TEXT('Egresos e Inversión'!D22,"#,##0")&amp;"/mes. Desarrollo inicial: ₡"&amp;TEXT('Egresos e Inversión'!D12,"#,##0")&amp;"."&amp;CHAR(10)&amp;"• Resultado anual antes de impuestos: ₡"&amp;TEXT('Estados Financieros'!C30,"#,##0.00")&amp;". El equilibrio operativo no equivale a recuperar la inversión."&amp;CHAR(10)&amp;"• Premium/Enterprise sin ventas en esta cartera; instalación cobrada ₡129 000/₡258 000. Capacidades avanzadas presupuestadas requieren implementación y pruebas."</f>
        <v>Pulso es un servicio web para gestionar gimnasios. Escenario comercial proyectado, no ventas confirmadas.
• Starter ₡15 000; Pro Gym ₡25 000; Premium dedicado ₡45 000; Enterprise desde ₡70 000.
• Cartera: 1 Starter y el resto Pro; 14 activos al cierre. Instalación básica: ₡40 000 por alta, absorbidos por Pulso.
• Fijo común: ₡91,125/mes. Desarrollo inicial: ₡480,000.
• Resultado anual antes de impuestos: ₡124,983.56. El equilibrio operativo no equivale a recuperar la inversión.
• Premium/Enterprise sin ventas en esta cartera; instalación cobrada ₡129 000/₡258 000. Capacidades avanzadas presupuestadas requieren implementación y pruebas.</v>
      </c>
      <c r="C9" s="54" t="n"/>
      <c r="D9" s="54" t="n"/>
      <c r="E9" s="54" t="n"/>
      <c r="F9" s="54" t="n"/>
      <c r="G9" s="54" t="n"/>
      <c r="H9" s="54" t="n"/>
      <c r="I9" s="54" t="n"/>
      <c r="J9" s="54" t="n"/>
      <c r="K9" s="54" t="n"/>
      <c r="L9" s="54" t="n"/>
      <c r="M9" s="55" t="n"/>
    </row>
    <row r="10">
      <c r="B10" s="56" t="n"/>
      <c r="M10" s="57" t="n"/>
    </row>
    <row r="11">
      <c r="B11" s="56" t="n"/>
      <c r="M11" s="57" t="n"/>
    </row>
    <row r="12">
      <c r="B12" s="56" t="n"/>
      <c r="M12" s="57" t="n"/>
    </row>
    <row r="13">
      <c r="B13" s="56" t="n"/>
      <c r="M13" s="57" t="n"/>
    </row>
    <row r="14">
      <c r="B14" s="56" t="n"/>
      <c r="M14" s="57" t="n"/>
    </row>
    <row r="15">
      <c r="B15" s="58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60" t="n"/>
    </row>
  </sheetData>
  <mergeCells count="9">
    <mergeCell ref="F4:G4"/>
    <mergeCell ref="I4:J4"/>
    <mergeCell ref="L4:M4"/>
    <mergeCell ref="B9:M15"/>
    <mergeCell ref="F5:G5"/>
    <mergeCell ref="C5:D5"/>
    <mergeCell ref="I5:J5"/>
    <mergeCell ref="L5:M5"/>
    <mergeCell ref="C4:D4"/>
  </mergeCells>
  <pageMargins left="0.75" right="0.75" top="1" bottom="1" header="0.5" footer="0.5"/>
  <drawing r:id="rId1"/>
  <legacyDrawing r:id="anysvml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I18"/>
  <sheetViews>
    <sheetView workbookViewId="0">
      <selection activeCell="F24" sqref="F24"/>
    </sheetView>
  </sheetViews>
  <sheetFormatPr baseColWidth="10" defaultColWidth="8.88671875" defaultRowHeight="14.4"/>
  <cols>
    <col width="12" customWidth="1" min="1" max="2"/>
    <col width="20" customWidth="1" min="3" max="3"/>
    <col width="18" customWidth="1" min="4" max="4"/>
    <col width="22" customWidth="1" min="5" max="6"/>
    <col width="18" customWidth="1" min="7" max="7"/>
    <col width="22" customWidth="1" min="8" max="9"/>
  </cols>
  <sheetData>
    <row r="2" ht="21" customHeight="1">
      <c r="B2" s="1" t="inlineStr">
        <is>
          <t>PROYECCIÓN DE CLIENTES E INGRESOS (MRR)</t>
        </is>
      </c>
    </row>
    <row r="3">
      <c r="B3" s="2" t="inlineStr">
        <is>
          <t>Escenario: 1 Starter y el resto Pro Gym; mensualidad completa desde el alta. Sin ventas Premium/Enterprise.</t>
        </is>
      </c>
    </row>
    <row r="5" ht="28.8" customHeight="1">
      <c r="B5" s="4" t="inlineStr">
        <is>
          <t>Mes</t>
        </is>
      </c>
      <c r="C5" s="4" t="inlineStr">
        <is>
          <t>Gimnasios Iniciales</t>
        </is>
      </c>
      <c r="D5" s="4" t="inlineStr">
        <is>
          <t>Nuevos Clientes</t>
        </is>
      </c>
      <c r="E5" s="4" t="inlineStr">
        <is>
          <t>Cancelaciones (unidades)</t>
        </is>
      </c>
      <c r="F5" s="4" t="inlineStr">
        <is>
          <t>Gimnasios Activos Final</t>
        </is>
      </c>
      <c r="G5" s="4" t="inlineStr">
        <is>
          <t>Precio medio ponderado (₡)</t>
        </is>
      </c>
      <c r="H5" s="4" t="inlineStr">
        <is>
          <t>Ingreso Mensual MRR (₡)</t>
        </is>
      </c>
      <c r="I5" s="4" t="inlineStr">
        <is>
          <t>Ingreso Acumulado (₡)</t>
        </is>
      </c>
    </row>
    <row r="6">
      <c r="B6" s="5" t="inlineStr">
        <is>
          <t>Mes 1</t>
        </is>
      </c>
      <c r="C6" s="6" t="n">
        <v>0</v>
      </c>
      <c r="D6" s="6" t="n">
        <v>5</v>
      </c>
      <c r="E6" s="6" t="n">
        <v>0</v>
      </c>
      <c r="F6" s="6">
        <f>C6+D6-E6</f>
        <v>5.0</v>
      </c>
      <c r="G6" s="7">
        <f>IF(F6&gt;0,(15000+MAX(0,F6-1)*25000)/F6,0)</f>
        <v>23000.0</v>
      </c>
      <c r="H6" s="7">
        <f>ROUND(F6*G6,2)</f>
        <v>115000.0</v>
      </c>
      <c r="I6" s="7">
        <f>SUM($H$6:H6)</f>
        <v>115000.0</v>
      </c>
    </row>
    <row r="7">
      <c r="B7" s="8" t="inlineStr">
        <is>
          <t>Mes 2</t>
        </is>
      </c>
      <c r="C7" s="9">
        <f>F6</f>
        <v>5.0</v>
      </c>
      <c r="D7" s="9" t="n">
        <v>1</v>
      </c>
      <c r="E7" s="9" t="n">
        <v>0</v>
      </c>
      <c r="F7" s="9">
        <f>C7+D7-E7</f>
        <v>6.0</v>
      </c>
      <c r="G7" s="10">
        <f>IF(F7&gt;0,(15000+MAX(0,F7-1)*25000)/F7,0)</f>
        <v>23333.333333333332</v>
      </c>
      <c r="H7" s="10">
        <f>ROUND(F7*G7,2)</f>
        <v>140000.0</v>
      </c>
      <c r="I7" s="10">
        <f>SUM($H$6:H7)</f>
        <v>255000.0</v>
      </c>
    </row>
    <row r="8">
      <c r="B8" s="5" t="inlineStr">
        <is>
          <t>Mes 3</t>
        </is>
      </c>
      <c r="C8" s="6">
        <f>F7</f>
        <v>6.0</v>
      </c>
      <c r="D8" s="6" t="n">
        <v>1</v>
      </c>
      <c r="E8" s="6" t="n">
        <v>0</v>
      </c>
      <c r="F8" s="6">
        <f>C8+D8-E8</f>
        <v>7.0</v>
      </c>
      <c r="G8" s="7">
        <f>IF(F8&gt;0,(15000+MAX(0,F8-1)*25000)/F8,0)</f>
        <v>23571.428571428572</v>
      </c>
      <c r="H8" s="7">
        <f>ROUND(F8*G8,2)</f>
        <v>165000.0</v>
      </c>
      <c r="I8" s="7">
        <f>SUM($H$6:H8)</f>
        <v>420000.0</v>
      </c>
    </row>
    <row r="9">
      <c r="B9" s="8" t="inlineStr">
        <is>
          <t>Mes 4</t>
        </is>
      </c>
      <c r="C9" s="9">
        <f>F8</f>
        <v>7.0</v>
      </c>
      <c r="D9" s="9" t="n">
        <v>1</v>
      </c>
      <c r="E9" s="9" t="n">
        <v>0</v>
      </c>
      <c r="F9" s="9">
        <f>C9+D9-E9</f>
        <v>8.0</v>
      </c>
      <c r="G9" s="10">
        <f>IF(F9&gt;0,(15000+MAX(0,F9-1)*25000)/F9,0)</f>
        <v>23750.0</v>
      </c>
      <c r="H9" s="10">
        <f>ROUND(F9*G9,2)</f>
        <v>190000.0</v>
      </c>
      <c r="I9" s="10">
        <f>SUM($H$6:H9)</f>
        <v>610000.0</v>
      </c>
    </row>
    <row r="10">
      <c r="B10" s="5" t="inlineStr">
        <is>
          <t>Mes 5</t>
        </is>
      </c>
      <c r="C10" s="6">
        <f>F9</f>
        <v>8.0</v>
      </c>
      <c r="D10" s="6" t="n">
        <v>1</v>
      </c>
      <c r="E10" s="6" t="n">
        <v>0</v>
      </c>
      <c r="F10" s="6">
        <f>C10+D10-E10</f>
        <v>9.0</v>
      </c>
      <c r="G10" s="7">
        <f>IF(F10&gt;0,(15000+MAX(0,F10-1)*25000)/F10,0)</f>
        <v>23888.88888888889</v>
      </c>
      <c r="H10" s="7">
        <f>ROUND(F10*G10,2)</f>
        <v>215000.0</v>
      </c>
      <c r="I10" s="7">
        <f>SUM($H$6:H10)</f>
        <v>825000.0</v>
      </c>
    </row>
    <row r="11">
      <c r="B11" s="8" t="inlineStr">
        <is>
          <t>Mes 6</t>
        </is>
      </c>
      <c r="C11" s="9">
        <f>F10</f>
        <v>9.0</v>
      </c>
      <c r="D11" s="9" t="n">
        <v>1</v>
      </c>
      <c r="E11" s="9" t="n">
        <v>1</v>
      </c>
      <c r="F11" s="9">
        <f>C11+D11-E11</f>
        <v>9.0</v>
      </c>
      <c r="G11" s="10">
        <f>IF(F11&gt;0,(15000+MAX(0,F11-1)*25000)/F11,0)</f>
        <v>23888.88888888889</v>
      </c>
      <c r="H11" s="10">
        <f>ROUND(F11*G11,2)</f>
        <v>215000.0</v>
      </c>
      <c r="I11" s="10">
        <f>SUM($H$6:H11)</f>
        <v>1040000.0</v>
      </c>
    </row>
    <row r="12">
      <c r="B12" s="5" t="inlineStr">
        <is>
          <t>Mes 7</t>
        </is>
      </c>
      <c r="C12" s="6">
        <f>F11</f>
        <v>9.0</v>
      </c>
      <c r="D12" s="6" t="n">
        <v>1</v>
      </c>
      <c r="E12" s="6" t="n">
        <v>0</v>
      </c>
      <c r="F12" s="6">
        <f>C12+D12-E12</f>
        <v>10.0</v>
      </c>
      <c r="G12" s="7">
        <f>IF(F12&gt;0,(15000+MAX(0,F12-1)*25000)/F12,0)</f>
        <v>24000.0</v>
      </c>
      <c r="H12" s="7">
        <f>ROUND(F12*G12,2)</f>
        <v>240000.0</v>
      </c>
      <c r="I12" s="7">
        <f>SUM($H$6:H12)</f>
        <v>1280000.0</v>
      </c>
    </row>
    <row r="13">
      <c r="B13" s="8" t="inlineStr">
        <is>
          <t>Mes 8</t>
        </is>
      </c>
      <c r="C13" s="9">
        <f>F12</f>
        <v>10.0</v>
      </c>
      <c r="D13" s="9" t="n">
        <v>1</v>
      </c>
      <c r="E13" s="9" t="n">
        <v>0</v>
      </c>
      <c r="F13" s="9">
        <f>C13+D13-E13</f>
        <v>11.0</v>
      </c>
      <c r="G13" s="10">
        <f>IF(F13&gt;0,(15000+MAX(0,F13-1)*25000)/F13,0)</f>
        <v>24090.909090909092</v>
      </c>
      <c r="H13" s="10">
        <f>ROUND(F13*G13,2)</f>
        <v>265000.0</v>
      </c>
      <c r="I13" s="10">
        <f>SUM($H$6:H13)</f>
        <v>1545000.0</v>
      </c>
    </row>
    <row r="14">
      <c r="B14" s="5" t="inlineStr">
        <is>
          <t>Mes 9</t>
        </is>
      </c>
      <c r="C14" s="6">
        <f>F13</f>
        <v>11.0</v>
      </c>
      <c r="D14" s="6" t="n">
        <v>1</v>
      </c>
      <c r="E14" s="6" t="n">
        <v>0</v>
      </c>
      <c r="F14" s="6">
        <f>C14+D14-E14</f>
        <v>12.0</v>
      </c>
      <c r="G14" s="7">
        <f>IF(F14&gt;0,(15000+MAX(0,F14-1)*25000)/F14,0)</f>
        <v>24166.666666666668</v>
      </c>
      <c r="H14" s="7">
        <f>ROUND(F14*G14,2)</f>
        <v>290000.0</v>
      </c>
      <c r="I14" s="7">
        <f>SUM($H$6:H14)</f>
        <v>1835000.0</v>
      </c>
    </row>
    <row r="15">
      <c r="B15" s="8" t="inlineStr">
        <is>
          <t>Mes 10</t>
        </is>
      </c>
      <c r="C15" s="9">
        <f>F14</f>
        <v>12.0</v>
      </c>
      <c r="D15" s="9" t="n">
        <v>1</v>
      </c>
      <c r="E15" s="9" t="n">
        <v>1</v>
      </c>
      <c r="F15" s="9">
        <f>C15+D15-E15</f>
        <v>12.0</v>
      </c>
      <c r="G15" s="10">
        <f>IF(F15&gt;0,(15000+MAX(0,F15-1)*25000)/F15,0)</f>
        <v>24166.666666666668</v>
      </c>
      <c r="H15" s="10">
        <f>ROUND(F15*G15,2)</f>
        <v>290000.0</v>
      </c>
      <c r="I15" s="10">
        <f>SUM($H$6:H15)</f>
        <v>2125000.0</v>
      </c>
    </row>
    <row r="16">
      <c r="B16" s="5" t="inlineStr">
        <is>
          <t>Mes 11</t>
        </is>
      </c>
      <c r="C16" s="6">
        <f>F15</f>
        <v>12.0</v>
      </c>
      <c r="D16" s="6" t="n">
        <v>1</v>
      </c>
      <c r="E16" s="6" t="n">
        <v>0</v>
      </c>
      <c r="F16" s="6">
        <f>C16+D16-E16</f>
        <v>13.0</v>
      </c>
      <c r="G16" s="7">
        <f>IF(F16&gt;0,(15000+MAX(0,F16-1)*25000)/F16,0)</f>
        <v>24230.76923076923</v>
      </c>
      <c r="H16" s="7">
        <f>ROUND(F16*G16,2)</f>
        <v>315000.0</v>
      </c>
      <c r="I16" s="7">
        <f>SUM($H$6:H16)</f>
        <v>2440000.0</v>
      </c>
    </row>
    <row r="17">
      <c r="B17" s="8" t="inlineStr">
        <is>
          <t>Mes 12</t>
        </is>
      </c>
      <c r="C17" s="9">
        <f>F16</f>
        <v>13.0</v>
      </c>
      <c r="D17" s="9" t="n">
        <v>1</v>
      </c>
      <c r="E17" s="9" t="n">
        <v>0</v>
      </c>
      <c r="F17" s="9">
        <f>C17+D17-E17</f>
        <v>14.0</v>
      </c>
      <c r="G17" s="10">
        <f>IF(F17&gt;0,(15000+MAX(0,F17-1)*25000)/F17,0)</f>
        <v>24285.714285714286</v>
      </c>
      <c r="H17" s="10">
        <f>ROUND(F17*G17,2)</f>
        <v>340000.0</v>
      </c>
      <c r="I17" s="10">
        <f>SUM($H$6:H17)</f>
        <v>2780000.0</v>
      </c>
    </row>
    <row r="18">
      <c r="B18" s="11" t="inlineStr">
        <is>
          <t>TOTAL AÑO 1</t>
        </is>
      </c>
      <c r="C18" s="12">
        <f>C6</f>
        <v>0</v>
      </c>
      <c r="D18" s="13">
        <f>SUM(D6:D17)</f>
        <v>16.0</v>
      </c>
      <c r="E18" s="13">
        <f>SUM(E6:E17)</f>
        <v>2.0</v>
      </c>
      <c r="F18" s="13">
        <f>F17</f>
        <v>14.0</v>
      </c>
      <c r="G18" s="14">
        <f>IFERROR(H18/SUM(F6:F17),0)</f>
        <v>23965.51724137931</v>
      </c>
      <c r="H18" s="15">
        <f>SUM(H6:H17)</f>
        <v>2780000.0</v>
      </c>
      <c r="I18" s="15">
        <f>I17</f>
        <v>2780000.0</v>
      </c>
    </row>
  </sheetData>
  <pageMargins left="0.75" right="0.75" top="1" bottom="1" header="0.5" footer="0.5"/>
  <legacyDrawing r:id="anysvml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F47"/>
  <sheetViews>
    <sheetView topLeftCell="A15" workbookViewId="0">
      <selection activeCell="D37" sqref="D37"/>
    </sheetView>
  </sheetViews>
  <sheetFormatPr baseColWidth="10" defaultColWidth="8.88671875" defaultRowHeight="14.4"/>
  <cols>
    <col width="12" customWidth="1" min="1" max="1"/>
    <col width="32" customWidth="1" min="2" max="2"/>
    <col width="60" customWidth="1" min="3" max="3"/>
    <col width="24" customWidth="1" min="4" max="6"/>
  </cols>
  <sheetData>
    <row r="2" ht="21" customHeight="1">
      <c r="B2" s="1" t="inlineStr">
        <is>
          <t>PRESUPUESTO DE EGRESOS E INVERSIÓN INICIAL</t>
        </is>
      </c>
    </row>
    <row r="3">
      <c r="B3" s="2" t="inlineStr">
        <is>
          <t>Costo económico: trabajo técnico valorado a ₡5 000/h. Flujo supone pagarlo íntegro; fuente: modelo de costeo.</t>
        </is>
      </c>
    </row>
    <row r="5" ht="17.4" customHeight="1">
      <c r="B5" s="3" t="inlineStr">
        <is>
          <t>1. DESARROLLO INICIAL (UNA SOLA VEZ)</t>
        </is>
      </c>
    </row>
    <row r="6">
      <c r="B6" s="16" t="inlineStr">
        <is>
          <t>Rubro / Concepto</t>
        </is>
      </c>
      <c r="C6" s="16" t="inlineStr">
        <is>
          <t>Descripción</t>
        </is>
      </c>
      <c r="D6" s="17" t="inlineStr">
        <is>
          <t>Monto Estimado (₡)</t>
        </is>
      </c>
    </row>
    <row r="7">
      <c r="B7" s="49" t="inlineStr">
        <is>
          <t>Aislamiento de gimnasios</t>
        </is>
      </c>
      <c r="C7" s="49" t="inlineStr">
        <is>
          <t>Permisos y separación multiempresa: 24 h</t>
        </is>
      </c>
      <c r="D7" s="7">
        <f>24*5000</f>
        <v>120000.0</v>
      </c>
    </row>
    <row r="8">
      <c r="B8" s="49" t="inlineStr">
        <is>
          <t>Autenticación dedicada</t>
        </is>
      </c>
      <c r="C8" s="49" t="inlineStr">
        <is>
          <t>Ruteo de usuarios a bases dedicadas: 24 h</t>
        </is>
      </c>
      <c r="D8" s="7">
        <f>24*5000</f>
        <v>120000.0</v>
      </c>
    </row>
    <row r="9">
      <c r="B9" s="49" t="inlineStr">
        <is>
          <t>Personalización y cupos</t>
        </is>
      </c>
      <c r="C9" s="49" t="inlineStr">
        <is>
          <t>Marca/subdominios 12 h + límites de archivos e IA 8 h</t>
        </is>
      </c>
      <c r="D9" s="7">
        <f>20*5000</f>
        <v>100000.0</v>
      </c>
    </row>
    <row r="10">
      <c r="B10" s="49" t="inlineStr">
        <is>
          <t>Mensajería y tareas</t>
        </is>
      </c>
      <c r="C10" s="49" t="inlineStr">
        <is>
          <t>SES, Redis y worker: 12 h</t>
        </is>
      </c>
      <c r="D10" s="7">
        <f>12*5000</f>
        <v>60000.0</v>
      </c>
    </row>
    <row r="11">
      <c r="B11" s="49" t="inlineStr">
        <is>
          <t>Pruebas y entrega</t>
        </is>
      </c>
      <c r="C11" s="49" t="inlineStr">
        <is>
          <t>Aislamiento, carga y documentación: 16 h</t>
        </is>
      </c>
      <c r="D11" s="7">
        <f>16*5000</f>
        <v>80000.0</v>
      </c>
    </row>
    <row r="12">
      <c r="B12" s="11" t="inlineStr">
        <is>
          <t>TOTAL DESARROLLO INICIAL</t>
        </is>
      </c>
      <c r="C12" s="19" t="n"/>
      <c r="D12" s="15">
        <f>SUM(D7:D11)</f>
        <v>480000.0</v>
      </c>
    </row>
    <row r="15" ht="17.4" customHeight="1">
      <c r="B15" s="3" t="inlineStr">
        <is>
          <t xml:space="preserve">2. GASTOS OPERATIVOS FIJOS MENSUALES </t>
        </is>
      </c>
    </row>
    <row r="16">
      <c r="B16" s="16" t="inlineStr">
        <is>
          <t>Rubro de Gasto Fijo</t>
        </is>
      </c>
      <c r="C16" s="16" t="inlineStr">
        <is>
          <t>Detalle Operativo</t>
        </is>
      </c>
      <c r="D16" s="17" t="inlineStr">
        <is>
          <t>Monto Mensual Base (₡)</t>
        </is>
      </c>
    </row>
    <row r="17">
      <c r="B17" s="49" t="inlineStr">
        <is>
          <t>Infraestructura y dominio</t>
        </is>
      </c>
      <c r="C17" s="49" t="inlineStr">
        <is>
          <t>Vercel + Supabase + API + dominio + Redis + worker + workspace</t>
        </is>
      </c>
      <c r="D17" s="7">
        <f>20*500+25*500+10*500+15/12*500+10*500+25*500+25*500</f>
        <v>58125.0</v>
      </c>
    </row>
    <row r="18">
      <c r="B18" s="49" t="inlineStr">
        <is>
          <t>Transporte y viáticos</t>
        </is>
      </c>
      <c r="C18" s="49" t="inlineStr">
        <is>
          <t>Visitas comerciales presupuestadas</t>
        </is>
      </c>
      <c r="D18" s="7">
        <f>2000</f>
        <v>2000</v>
      </c>
    </row>
    <row r="19">
      <c r="B19" s="49" t="inlineStr">
        <is>
          <t>Publicidad digital</t>
        </is>
      </c>
      <c r="C19" s="49" t="inlineStr">
        <is>
          <t>Anuncios para validación comercial</t>
        </is>
      </c>
      <c r="D19" s="7">
        <f>5000</f>
        <v>5000</v>
      </c>
    </row>
    <row r="20">
      <c r="B20" s="49" t="inlineStr">
        <is>
          <t>Correo y diseño</t>
        </is>
      </c>
      <c r="C20" s="49" t="inlineStr">
        <is>
          <t>Workspace: US$7; diseño: US$5; cambio ₡500/USD</t>
        </is>
      </c>
      <c r="D20" s="7">
        <f>(7+5)*500</f>
        <v>6000.0</v>
      </c>
    </row>
    <row r="21">
      <c r="B21" s="50" t="inlineStr">
        <is>
          <t>Mantenimiento técnico</t>
        </is>
      </c>
      <c r="C21" s="50" t="inlineStr">
        <is>
          <t>4 horas mensuales a ₡5 000/h</t>
        </is>
      </c>
      <c r="D21" s="51">
        <f>4*5000</f>
        <v>20000.0</v>
      </c>
      <c r="E21" t="inlineStr">
        <is>
          <t>Incluye trabajo propio valorado; no se excluyen honorarios para aparentar rentabilidad.</t>
        </is>
      </c>
    </row>
    <row r="22">
      <c r="B22" s="11" t="inlineStr">
        <is>
          <t>TOTAL GASTOS FIJOS BASE / MES</t>
        </is>
      </c>
      <c r="C22" s="19" t="n"/>
      <c r="D22" s="15">
        <f>SUM(D17:D21)</f>
        <v>91125.0</v>
      </c>
    </row>
    <row r="25" ht="17.4" customHeight="1">
      <c r="B25" s="3" t="inlineStr">
        <is>
          <t>3. VARIABLE UNITARIO: MEZCLA INICIAL</t>
        </is>
      </c>
    </row>
    <row r="26">
      <c r="B26" s="16" t="inlineStr">
        <is>
          <t>Componente Variable</t>
        </is>
      </c>
      <c r="C26" s="16" t="inlineStr">
        <is>
          <t>Descripción / Proveedor</t>
        </is>
      </c>
      <c r="D26" s="17" t="inlineStr">
        <is>
          <t>Costo por Gym / Mes (₡)</t>
        </is>
      </c>
    </row>
    <row r="27">
      <c r="B27" s="49" t="inlineStr">
        <is>
          <t>Soporte mensual</t>
        </is>
      </c>
      <c r="C27" s="49" t="inlineStr">
        <is>
          <t>0,5 h por gimnasio × ₡5 000/h</t>
        </is>
      </c>
      <c r="D27" s="7">
        <f>0.5*5000</f>
        <v>2500.0</v>
      </c>
    </row>
    <row r="28">
      <c r="B28" s="49" t="inlineStr">
        <is>
          <t>Correo e IA</t>
        </is>
      </c>
      <c r="C28" s="49" t="inlineStr">
        <is>
          <t>SES + GPT-4.1 mini; ponderado por miembros de la mezcla</t>
        </is>
      </c>
      <c r="D28" s="7">
        <f>(ROUND((((80*2+20)*0.16/1000+(80*2+20)*32/1000000*0.12)*500),2)+80*2*(4000*0.4+300*1.6)/1000000*500+MAX(0,'Clientes e Ingresos'!F6-1)*(ROUND((((200*2+20)*0.16/1000+(200*2+20)*32/1000000*0.12)*500),2)+200*2*(4000*0.4+300*1.6)/1000000*500))/'Clientes e Ingresos'!F6</f>
        <v>396.558</v>
      </c>
    </row>
    <row r="29">
      <c r="B29" s="49" t="inlineStr">
        <is>
          <t>Comisiones</t>
        </is>
      </c>
      <c r="C29" s="49" t="inlineStr">
        <is>
          <t>Transferencia sin pasarela contratada</t>
        </is>
      </c>
      <c r="D29" s="7">
        <f>0</f>
        <v>0</v>
      </c>
    </row>
    <row r="30">
      <c r="B30" s="11" t="inlineStr">
        <is>
          <t>COSTO VARIABLE TOTAL POR GIMNASIO</t>
        </is>
      </c>
      <c r="C30" s="19" t="n"/>
      <c r="D30" s="15">
        <f>SUM(D27:D29)</f>
        <v>2896.558</v>
      </c>
      <c r="E30" t="inlineStr">
        <is>
          <t>Base por gimnasio en mes 1; nube excedente e instalaciones se calculan aparte según cartera y altas.</t>
        </is>
      </c>
    </row>
    <row r="33" ht="17.4" customHeight="1">
      <c r="B33" s="3" t="inlineStr">
        <is>
          <t>4. PROYECCIÓN MENSUAL DE EGRESOS (AÑO 1)</t>
        </is>
      </c>
    </row>
    <row r="34">
      <c r="B34" s="4" t="inlineStr">
        <is>
          <t>Mes</t>
        </is>
      </c>
      <c r="C34" s="4" t="inlineStr">
        <is>
          <t>Gimnasios Activos</t>
        </is>
      </c>
      <c r="D34" s="17" t="inlineStr">
        <is>
          <t>Gastos Fijos (OPEX)</t>
        </is>
      </c>
      <c r="E34" s="17" t="inlineStr">
        <is>
          <t>Variables + altas + nube</t>
        </is>
      </c>
      <c r="F34" s="17" t="inlineStr">
        <is>
          <t>Egresos sin desarrollo</t>
        </is>
      </c>
    </row>
    <row r="35">
      <c r="B35" s="5" t="inlineStr">
        <is>
          <t>Mes 1</t>
        </is>
      </c>
      <c r="C35" s="6">
        <f>'Clientes e Ingresos'!F6</f>
        <v>5.0</v>
      </c>
      <c r="D35" s="7">
        <f>$D$22</f>
        <v>91125.0</v>
      </c>
      <c r="E35" s="7">
        <f>ROUND(C35*$D$27+(ROUND((((80*2+20)*0.16/1000+(80*2+20)*32/1000000*0.12)*500),2)+80*2*(4000*0.4+300*1.6)/1000000*500+MAX(0,C35-1)*(ROUND((((200*2+20)*0.16/1000+(200*2+20)*32/1000000*0.12)*500),2)+200*2*(4000*0.4+300*1.6)/1000000*500))+C35*$D$29+'Clientes e Ingresos'!D6*(8*5000)+(ROUND((MAX(0,((1)*1+(MAX(0,C35-1))*3+(0)*8+(0)*16)-100)*0.0213+MAX(0,((1)*1.056+(MAX(0,C35-1))*2.6399999999999997+(0)*6.6+(0)*13.2)-250)*0.09+(MAX(0,ROUNDUP((((1)*0.06+(MAX(0,C35-1))*0.15)+((0)*0.375+(0)*0.75)*0.05)*2,0)-8)+((1)*0+(MAX(0,C35-1))*0+(0)*0+(0)*0))*0.125+IF(((1)*80+(MAX(0,C35-1))*200)&lt;=2000,10,IF(((1)*80+(MAX(0,C35-1))*200)&lt;=5000,15,IF(((1)*80+(MAX(0,C35-1))*200)&lt;=10000,60,110)))-10)*500,2)+ROUND((MAX(0,((1)*0.166864+(MAX(0,C35-1))*0.41716+(0)*1.0429000000000002+(0)*2.0858000000000003)+20*2*2*0.0035+30*(1/3600*0.128+5/3600*0.0106)-20)+IF(AND(((1)*55680.0+(MAX(0,C35-1))*139200.0+(0)*348000.0+(0)*696000.0)&lt;=1000000,((1)*1.536+(MAX(0,C35-1))*3.84+(0)*9.6+(0)*19.2)&lt;=1000),0,IF(((1)*55680.0+(MAX(0,C35-1))*139200.0+(0)*348000.0+(0)*696000.0)&lt;=10000000,20,IF(((1)*55680.0+(MAX(0,C35-1))*139200.0+(0)*348000.0+(0)*696000.0)&lt;=50000000,100,300)))+MAX(0,ROUNDUP(((1)*80+(MAX(0,C35-1))*200+(0)*500+(0)*1000)/5000,0)-1)*25+IF(((1)*80+(MAX(0,C35-1))*200+(0)*500+(0)*1000)&gt;5000,32-10,0))*500,2)),2)</f>
        <v>214482.79</v>
      </c>
      <c r="F35" s="7">
        <f>D35+E35</f>
        <v>305607.79000000004</v>
      </c>
    </row>
    <row r="36">
      <c r="B36" s="8" t="inlineStr">
        <is>
          <t>Mes 2</t>
        </is>
      </c>
      <c r="C36" s="9">
        <f>'Clientes e Ingresos'!F7</f>
        <v>6.0</v>
      </c>
      <c r="D36" s="10">
        <f>$D$22</f>
        <v>91125.0</v>
      </c>
      <c r="E36" s="10">
        <f>ROUND(C36*$D$27+(ROUND((((80*2+20)*0.16/1000+(80*2+20)*32/1000000*0.12)*500),2)+80*2*(4000*0.4+300*1.6)/1000000*500+MAX(0,C36-1)*(ROUND((((200*2+20)*0.16/1000+(200*2+20)*32/1000000*0.12)*500),2)+200*2*(4000*0.4+300*1.6)/1000000*500))+C36*$D$29+'Clientes e Ingresos'!D7*(8*5000)+(ROUND((MAX(0,((1)*1+(MAX(0,C36-1))*3+(0)*8+(0)*16)-100)*0.0213+MAX(0,((1)*1.056+(MAX(0,C36-1))*2.6399999999999997+(0)*6.6+(0)*13.2)-250)*0.09+(MAX(0,ROUNDUP((((1)*0.06+(MAX(0,C36-1))*0.15)+((0)*0.375+(0)*0.75)*0.05)*2,0)-8)+((1)*0+(MAX(0,C36-1))*0+(0)*0+(0)*0))*0.125+IF(((1)*80+(MAX(0,C36-1))*200)&lt;=2000,10,IF(((1)*80+(MAX(0,C36-1))*200)&lt;=5000,15,IF(((1)*80+(MAX(0,C36-1))*200)&lt;=10000,60,110)))-10)*500,2)+ROUND((MAX(0,((1)*0.166864+(MAX(0,C36-1))*0.41716+(0)*1.0429000000000002+(0)*2.0858000000000003)+20*2*2*0.0035+30*(1/3600*0.128+5/3600*0.0106)-20)+IF(AND(((1)*55680.0+(MAX(0,C36-1))*139200.0+(0)*348000.0+(0)*696000.0)&lt;=1000000,((1)*1.536+(MAX(0,C36-1))*3.84+(0)*9.6+(0)*19.2)&lt;=1000),0,IF(((1)*55680.0+(MAX(0,C36-1))*139200.0+(0)*348000.0+(0)*696000.0)&lt;=10000000,20,IF(((1)*55680.0+(MAX(0,C36-1))*139200.0+(0)*348000.0+(0)*696000.0)&lt;=50000000,100,300)))+MAX(0,ROUNDUP(((1)*80+(MAX(0,C36-1))*200+(0)*500+(0)*1000)/5000,0)-1)*25+IF(((1)*80+(MAX(0,C36-1))*200+(0)*500+(0)*1000)&gt;5000,32-10,0))*500,2)),2)</f>
        <v>57433.2</v>
      </c>
      <c r="F36" s="10">
        <f>D36+E36</f>
        <v>148558.2</v>
      </c>
    </row>
    <row r="37">
      <c r="B37" s="5" t="inlineStr">
        <is>
          <t>Mes 3</t>
        </is>
      </c>
      <c r="C37" s="6">
        <f>'Clientes e Ingresos'!F8</f>
        <v>7.0</v>
      </c>
      <c r="D37" s="7">
        <f>$D$22</f>
        <v>91125.0</v>
      </c>
      <c r="E37" s="7">
        <f>ROUND(C37*$D$27+(ROUND((((80*2+20)*0.16/1000+(80*2+20)*32/1000000*0.12)*500),2)+80*2*(4000*0.4+300*1.6)/1000000*500+MAX(0,C37-1)*(ROUND((((200*2+20)*0.16/1000+(200*2+20)*32/1000000*0.12)*500),2)+200*2*(4000*0.4+300*1.6)/1000000*500))+C37*$D$29+'Clientes e Ingresos'!D8*(8*5000)+(ROUND((MAX(0,((1)*1+(MAX(0,C37-1))*3+(0)*8+(0)*16)-100)*0.0213+MAX(0,((1)*1.056+(MAX(0,C37-1))*2.6399999999999997+(0)*6.6+(0)*13.2)-250)*0.09+(MAX(0,ROUNDUP((((1)*0.06+(MAX(0,C37-1))*0.15)+((0)*0.375+(0)*0.75)*0.05)*2,0)-8)+((1)*0+(MAX(0,C37-1))*0+(0)*0+(0)*0))*0.125+IF(((1)*80+(MAX(0,C37-1))*200)&lt;=2000,10,IF(((1)*80+(MAX(0,C37-1))*200)&lt;=5000,15,IF(((1)*80+(MAX(0,C37-1))*200)&lt;=10000,60,110)))-10)*500,2)+ROUND((MAX(0,((1)*0.166864+(MAX(0,C37-1))*0.41716+(0)*1.0429000000000002+(0)*2.0858000000000003)+20*2*2*0.0035+30*(1/3600*0.128+5/3600*0.0106)-20)+IF(AND(((1)*55680.0+(MAX(0,C37-1))*139200.0+(0)*348000.0+(0)*696000.0)&lt;=1000000,((1)*1.536+(MAX(0,C37-1))*3.84+(0)*9.6+(0)*19.2)&lt;=1000),0,IF(((1)*55680.0+(MAX(0,C37-1))*139200.0+(0)*348000.0+(0)*696000.0)&lt;=10000000,20,IF(((1)*55680.0+(MAX(0,C37-1))*139200.0+(0)*348000.0+(0)*696000.0)&lt;=50000000,100,300)))+MAX(0,ROUNDUP(((1)*80+(MAX(0,C37-1))*200+(0)*500+(0)*1000)/5000,0)-1)*25+IF(((1)*80+(MAX(0,C37-1))*200+(0)*500+(0)*1000)&gt;5000,32-10,0))*500,2)),2)</f>
        <v>60383.61</v>
      </c>
      <c r="F37" s="7">
        <f>D37+E37</f>
        <v>151508.61</v>
      </c>
    </row>
    <row r="38">
      <c r="B38" s="8" t="inlineStr">
        <is>
          <t>Mes 4</t>
        </is>
      </c>
      <c r="C38" s="9">
        <f>'Clientes e Ingresos'!F9</f>
        <v>8.0</v>
      </c>
      <c r="D38" s="10">
        <f>$D$22</f>
        <v>91125.0</v>
      </c>
      <c r="E38" s="10">
        <f>ROUND(C38*$D$27+(ROUND((((80*2+20)*0.16/1000+(80*2+20)*32/1000000*0.12)*500),2)+80*2*(4000*0.4+300*1.6)/1000000*500+MAX(0,C38-1)*(ROUND((((200*2+20)*0.16/1000+(200*2+20)*32/1000000*0.12)*500),2)+200*2*(4000*0.4+300*1.6)/1000000*500))+C38*$D$29+'Clientes e Ingresos'!D9*(8*5000)+(ROUND((MAX(0,((1)*1+(MAX(0,C38-1))*3+(0)*8+(0)*16)-100)*0.0213+MAX(0,((1)*1.056+(MAX(0,C38-1))*2.6399999999999997+(0)*6.6+(0)*13.2)-250)*0.09+(MAX(0,ROUNDUP((((1)*0.06+(MAX(0,C38-1))*0.15)+((0)*0.375+(0)*0.75)*0.05)*2,0)-8)+((1)*0+(MAX(0,C38-1))*0+(0)*0+(0)*0))*0.125+IF(((1)*80+(MAX(0,C38-1))*200)&lt;=2000,10,IF(((1)*80+(MAX(0,C38-1))*200)&lt;=5000,15,IF(((1)*80+(MAX(0,C38-1))*200)&lt;=10000,60,110)))-10)*500,2)+ROUND((MAX(0,((1)*0.166864+(MAX(0,C38-1))*0.41716+(0)*1.0429000000000002+(0)*2.0858000000000003)+20*2*2*0.0035+30*(1/3600*0.128+5/3600*0.0106)-20)+IF(AND(((1)*55680.0+(MAX(0,C38-1))*139200.0+(0)*348000.0+(0)*696000.0)&lt;=1000000,((1)*1.536+(MAX(0,C38-1))*3.84+(0)*9.6+(0)*19.2)&lt;=1000),0,IF(((1)*55680.0+(MAX(0,C38-1))*139200.0+(0)*348000.0+(0)*696000.0)&lt;=10000000,20,IF(((1)*55680.0+(MAX(0,C38-1))*139200.0+(0)*348000.0+(0)*696000.0)&lt;=50000000,100,300)))+MAX(0,ROUNDUP(((1)*80+(MAX(0,C38-1))*200+(0)*500+(0)*1000)/5000,0)-1)*25+IF(((1)*80+(MAX(0,C38-1))*200+(0)*500+(0)*1000)&gt;5000,32-10,0))*500,2)),2)</f>
        <v>73334.02</v>
      </c>
      <c r="F38" s="10">
        <f>D38+E38</f>
        <v>164459.02000000002</v>
      </c>
    </row>
    <row r="39">
      <c r="B39" s="5" t="inlineStr">
        <is>
          <t>Mes 5</t>
        </is>
      </c>
      <c r="C39" s="6">
        <f>'Clientes e Ingresos'!F10</f>
        <v>9.0</v>
      </c>
      <c r="D39" s="7">
        <f>$D$22</f>
        <v>91125.0</v>
      </c>
      <c r="E39" s="7">
        <f>ROUND(C39*$D$27+(ROUND((((80*2+20)*0.16/1000+(80*2+20)*32/1000000*0.12)*500),2)+80*2*(4000*0.4+300*1.6)/1000000*500+MAX(0,C39-1)*(ROUND((((200*2+20)*0.16/1000+(200*2+20)*32/1000000*0.12)*500),2)+200*2*(4000*0.4+300*1.6)/1000000*500))+C39*$D$29+'Clientes e Ingresos'!D10*(8*5000)+(ROUND((MAX(0,((1)*1+(MAX(0,C39-1))*3+(0)*8+(0)*16)-100)*0.0213+MAX(0,((1)*1.056+(MAX(0,C39-1))*2.6399999999999997+(0)*6.6+(0)*13.2)-250)*0.09+(MAX(0,ROUNDUP((((1)*0.06+(MAX(0,C39-1))*0.15)+((0)*0.375+(0)*0.75)*0.05)*2,0)-8)+((1)*0+(MAX(0,C39-1))*0+(0)*0+(0)*0))*0.125+IF(((1)*80+(MAX(0,C39-1))*200)&lt;=2000,10,IF(((1)*80+(MAX(0,C39-1))*200)&lt;=5000,15,IF(((1)*80+(MAX(0,C39-1))*200)&lt;=10000,60,110)))-10)*500,2)+ROUND((MAX(0,((1)*0.166864+(MAX(0,C39-1))*0.41716+(0)*1.0429000000000002+(0)*2.0858000000000003)+20*2*2*0.0035+30*(1/3600*0.128+5/3600*0.0106)-20)+IF(AND(((1)*55680.0+(MAX(0,C39-1))*139200.0+(0)*348000.0+(0)*696000.0)&lt;=1000000,((1)*1.536+(MAX(0,C39-1))*3.84+(0)*9.6+(0)*19.2)&lt;=1000),0,IF(((1)*55680.0+(MAX(0,C39-1))*139200.0+(0)*348000.0+(0)*696000.0)&lt;=10000000,20,IF(((1)*55680.0+(MAX(0,C39-1))*139200.0+(0)*348000.0+(0)*696000.0)&lt;=50000000,100,300)))+MAX(0,ROUNDUP(((1)*80+(MAX(0,C39-1))*200+(0)*500+(0)*1000)/5000,0)-1)*25+IF(((1)*80+(MAX(0,C39-1))*200+(0)*500+(0)*1000)&gt;5000,32-10,0))*500,2)),2)</f>
        <v>76284.43</v>
      </c>
      <c r="F39" s="7">
        <f>D39+E39</f>
        <v>167409.43</v>
      </c>
    </row>
    <row r="40">
      <c r="B40" s="8" t="inlineStr">
        <is>
          <t>Mes 6</t>
        </is>
      </c>
      <c r="C40" s="9">
        <f>'Clientes e Ingresos'!F11</f>
        <v>9.0</v>
      </c>
      <c r="D40" s="10">
        <f>$D$22</f>
        <v>91125.0</v>
      </c>
      <c r="E40" s="10">
        <f>ROUND(C40*$D$27+(ROUND((((80*2+20)*0.16/1000+(80*2+20)*32/1000000*0.12)*500),2)+80*2*(4000*0.4+300*1.6)/1000000*500+MAX(0,C40-1)*(ROUND((((200*2+20)*0.16/1000+(200*2+20)*32/1000000*0.12)*500),2)+200*2*(4000*0.4+300*1.6)/1000000*500))+C40*$D$29+'Clientes e Ingresos'!D11*(8*5000)+(ROUND((MAX(0,((1)*1+(MAX(0,C40-1))*3+(0)*8+(0)*16)-100)*0.0213+MAX(0,((1)*1.056+(MAX(0,C40-1))*2.6399999999999997+(0)*6.6+(0)*13.2)-250)*0.09+(MAX(0,ROUNDUP((((1)*0.06+(MAX(0,C40-1))*0.15)+((0)*0.375+(0)*0.75)*0.05)*2,0)-8)+((1)*0+(MAX(0,C40-1))*0+(0)*0+(0)*0))*0.125+IF(((1)*80+(MAX(0,C40-1))*200)&lt;=2000,10,IF(((1)*80+(MAX(0,C40-1))*200)&lt;=5000,15,IF(((1)*80+(MAX(0,C40-1))*200)&lt;=10000,60,110)))-10)*500,2)+ROUND((MAX(0,((1)*0.166864+(MAX(0,C40-1))*0.41716+(0)*1.0429000000000002+(0)*2.0858000000000003)+20*2*2*0.0035+30*(1/3600*0.128+5/3600*0.0106)-20)+IF(AND(((1)*55680.0+(MAX(0,C40-1))*139200.0+(0)*348000.0+(0)*696000.0)&lt;=1000000,((1)*1.536+(MAX(0,C40-1))*3.84+(0)*9.6+(0)*19.2)&lt;=1000),0,IF(((1)*55680.0+(MAX(0,C40-1))*139200.0+(0)*348000.0+(0)*696000.0)&lt;=10000000,20,IF(((1)*55680.0+(MAX(0,C40-1))*139200.0+(0)*348000.0+(0)*696000.0)&lt;=50000000,100,300)))+MAX(0,ROUNDUP(((1)*80+(MAX(0,C40-1))*200+(0)*500+(0)*1000)/5000,0)-1)*25+IF(((1)*80+(MAX(0,C40-1))*200+(0)*500+(0)*1000)&gt;5000,32-10,0))*500,2)),2)</f>
        <v>76284.43</v>
      </c>
      <c r="F40" s="10">
        <f>D40+E40</f>
        <v>167409.43</v>
      </c>
    </row>
    <row r="41">
      <c r="B41" s="5" t="inlineStr">
        <is>
          <t>Mes 7</t>
        </is>
      </c>
      <c r="C41" s="6">
        <f>'Clientes e Ingresos'!F12</f>
        <v>10.0</v>
      </c>
      <c r="D41" s="7">
        <f>$D$22</f>
        <v>91125.0</v>
      </c>
      <c r="E41" s="7">
        <f>ROUND(C41*$D$27+(ROUND((((80*2+20)*0.16/1000+(80*2+20)*32/1000000*0.12)*500),2)+80*2*(4000*0.4+300*1.6)/1000000*500+MAX(0,C41-1)*(ROUND((((200*2+20)*0.16/1000+(200*2+20)*32/1000000*0.12)*500),2)+200*2*(4000*0.4+300*1.6)/1000000*500))+C41*$D$29+'Clientes e Ingresos'!D12*(8*5000)+(ROUND((MAX(0,((1)*1+(MAX(0,C41-1))*3+(0)*8+(0)*16)-100)*0.0213+MAX(0,((1)*1.056+(MAX(0,C41-1))*2.6399999999999997+(0)*6.6+(0)*13.2)-250)*0.09+(MAX(0,ROUNDUP((((1)*0.06+(MAX(0,C41-1))*0.15)+((0)*0.375+(0)*0.75)*0.05)*2,0)-8)+((1)*0+(MAX(0,C41-1))*0+(0)*0+(0)*0))*0.125+IF(((1)*80+(MAX(0,C41-1))*200)&lt;=2000,10,IF(((1)*80+(MAX(0,C41-1))*200)&lt;=5000,15,IF(((1)*80+(MAX(0,C41-1))*200)&lt;=10000,60,110)))-10)*500,2)+ROUND((MAX(0,((1)*0.166864+(MAX(0,C41-1))*0.41716+(0)*1.0429000000000002+(0)*2.0858000000000003)+20*2*2*0.0035+30*(1/3600*0.128+5/3600*0.0106)-20)+IF(AND(((1)*55680.0+(MAX(0,C41-1))*139200.0+(0)*348000.0+(0)*696000.0)&lt;=1000000,((1)*1.536+(MAX(0,C41-1))*3.84+(0)*9.6+(0)*19.2)&lt;=1000),0,IF(((1)*55680.0+(MAX(0,C41-1))*139200.0+(0)*348000.0+(0)*696000.0)&lt;=10000000,20,IF(((1)*55680.0+(MAX(0,C41-1))*139200.0+(0)*348000.0+(0)*696000.0)&lt;=50000000,100,300)))+MAX(0,ROUNDUP(((1)*80+(MAX(0,C41-1))*200+(0)*500+(0)*1000)/5000,0)-1)*25+IF(((1)*80+(MAX(0,C41-1))*200+(0)*500+(0)*1000)&gt;5000,32-10,0))*500,2)),2)</f>
        <v>79234.84</v>
      </c>
      <c r="F41" s="7">
        <f>D41+E41</f>
        <v>170359.84</v>
      </c>
    </row>
    <row r="42">
      <c r="B42" s="8" t="inlineStr">
        <is>
          <t>Mes 8</t>
        </is>
      </c>
      <c r="C42" s="9">
        <f>'Clientes e Ingresos'!F13</f>
        <v>11.0</v>
      </c>
      <c r="D42" s="10">
        <f>$D$22</f>
        <v>91125.0</v>
      </c>
      <c r="E42" s="10">
        <f>ROUND(C42*$D$27+(ROUND((((80*2+20)*0.16/1000+(80*2+20)*32/1000000*0.12)*500),2)+80*2*(4000*0.4+300*1.6)/1000000*500+MAX(0,C42-1)*(ROUND((((200*2+20)*0.16/1000+(200*2+20)*32/1000000*0.12)*500),2)+200*2*(4000*0.4+300*1.6)/1000000*500))+C42*$D$29+'Clientes e Ingresos'!D13*(8*5000)+(ROUND((MAX(0,((1)*1+(MAX(0,C42-1))*3+(0)*8+(0)*16)-100)*0.0213+MAX(0,((1)*1.056+(MAX(0,C42-1))*2.6399999999999997+(0)*6.6+(0)*13.2)-250)*0.09+(MAX(0,ROUNDUP((((1)*0.06+(MAX(0,C42-1))*0.15)+((0)*0.375+(0)*0.75)*0.05)*2,0)-8)+((1)*0+(MAX(0,C42-1))*0+(0)*0+(0)*0))*0.125+IF(((1)*80+(MAX(0,C42-1))*200)&lt;=2000,10,IF(((1)*80+(MAX(0,C42-1))*200)&lt;=5000,15,IF(((1)*80+(MAX(0,C42-1))*200)&lt;=10000,60,110)))-10)*500,2)+ROUND((MAX(0,((1)*0.166864+(MAX(0,C42-1))*0.41716+(0)*1.0429000000000002+(0)*2.0858000000000003)+20*2*2*0.0035+30*(1/3600*0.128+5/3600*0.0106)-20)+IF(AND(((1)*55680.0+(MAX(0,C42-1))*139200.0+(0)*348000.0+(0)*696000.0)&lt;=1000000,((1)*1.536+(MAX(0,C42-1))*3.84+(0)*9.6+(0)*19.2)&lt;=1000),0,IF(((1)*55680.0+(MAX(0,C42-1))*139200.0+(0)*348000.0+(0)*696000.0)&lt;=10000000,20,IF(((1)*55680.0+(MAX(0,C42-1))*139200.0+(0)*348000.0+(0)*696000.0)&lt;=50000000,100,300)))+MAX(0,ROUNDUP(((1)*80+(MAX(0,C42-1))*200+(0)*500+(0)*1000)/5000,0)-1)*25+IF(((1)*80+(MAX(0,C42-1))*200+(0)*500+(0)*1000)&gt;5000,32-10,0))*500,2)),2)</f>
        <v>84685.25</v>
      </c>
      <c r="F42" s="10">
        <f>D42+E42</f>
        <v>175810.25</v>
      </c>
    </row>
    <row r="43">
      <c r="B43" s="5" t="inlineStr">
        <is>
          <t>Mes 9</t>
        </is>
      </c>
      <c r="C43" s="6">
        <f>'Clientes e Ingresos'!F14</f>
        <v>12.0</v>
      </c>
      <c r="D43" s="7">
        <f>$D$22</f>
        <v>91125.0</v>
      </c>
      <c r="E43" s="7">
        <f>ROUND(C43*$D$27+(ROUND((((80*2+20)*0.16/1000+(80*2+20)*32/1000000*0.12)*500),2)+80*2*(4000*0.4+300*1.6)/1000000*500+MAX(0,C43-1)*(ROUND((((200*2+20)*0.16/1000+(200*2+20)*32/1000000*0.12)*500),2)+200*2*(4000*0.4+300*1.6)/1000000*500))+C43*$D$29+'Clientes e Ingresos'!D14*(8*5000)+(ROUND((MAX(0,((1)*1+(MAX(0,C43-1))*3+(0)*8+(0)*16)-100)*0.0213+MAX(0,((1)*1.056+(MAX(0,C43-1))*2.6399999999999997+(0)*6.6+(0)*13.2)-250)*0.09+(MAX(0,ROUNDUP((((1)*0.06+(MAX(0,C43-1))*0.15)+((0)*0.375+(0)*0.75)*0.05)*2,0)-8)+((1)*0+(MAX(0,C43-1))*0+(0)*0+(0)*0))*0.125+IF(((1)*80+(MAX(0,C43-1))*200)&lt;=2000,10,IF(((1)*80+(MAX(0,C43-1))*200)&lt;=5000,15,IF(((1)*80+(MAX(0,C43-1))*200)&lt;=10000,60,110)))-10)*500,2)+ROUND((MAX(0,((1)*0.166864+(MAX(0,C43-1))*0.41716+(0)*1.0429000000000002+(0)*2.0858000000000003)+20*2*2*0.0035+30*(1/3600*0.128+5/3600*0.0106)-20)+IF(AND(((1)*55680.0+(MAX(0,C43-1))*139200.0+(0)*348000.0+(0)*696000.0)&lt;=1000000,((1)*1.536+(MAX(0,C43-1))*3.84+(0)*9.6+(0)*19.2)&lt;=1000),0,IF(((1)*55680.0+(MAX(0,C43-1))*139200.0+(0)*348000.0+(0)*696000.0)&lt;=10000000,20,IF(((1)*55680.0+(MAX(0,C43-1))*139200.0+(0)*348000.0+(0)*696000.0)&lt;=50000000,100,300)))+MAX(0,ROUNDUP(((1)*80+(MAX(0,C43-1))*200+(0)*500+(0)*1000)/5000,0)-1)*25+IF(((1)*80+(MAX(0,C43-1))*200+(0)*500+(0)*1000)&gt;5000,32-10,0))*500,2)),2)</f>
        <v>87635.66</v>
      </c>
      <c r="F43" s="7">
        <f>D43+E43</f>
        <v>178760.66</v>
      </c>
    </row>
    <row r="44">
      <c r="B44" s="8" t="inlineStr">
        <is>
          <t>Mes 10</t>
        </is>
      </c>
      <c r="C44" s="9">
        <f>'Clientes e Ingresos'!F15</f>
        <v>12.0</v>
      </c>
      <c r="D44" s="10">
        <f>$D$22</f>
        <v>91125.0</v>
      </c>
      <c r="E44" s="10">
        <f>ROUND(C44*$D$27+(ROUND((((80*2+20)*0.16/1000+(80*2+20)*32/1000000*0.12)*500),2)+80*2*(4000*0.4+300*1.6)/1000000*500+MAX(0,C44-1)*(ROUND((((200*2+20)*0.16/1000+(200*2+20)*32/1000000*0.12)*500),2)+200*2*(4000*0.4+300*1.6)/1000000*500))+C44*$D$29+'Clientes e Ingresos'!D15*(8*5000)+(ROUND((MAX(0,((1)*1+(MAX(0,C44-1))*3+(0)*8+(0)*16)-100)*0.0213+MAX(0,((1)*1.056+(MAX(0,C44-1))*2.6399999999999997+(0)*6.6+(0)*13.2)-250)*0.09+(MAX(0,ROUNDUP((((1)*0.06+(MAX(0,C44-1))*0.15)+((0)*0.375+(0)*0.75)*0.05)*2,0)-8)+((1)*0+(MAX(0,C44-1))*0+(0)*0+(0)*0))*0.125+IF(((1)*80+(MAX(0,C44-1))*200)&lt;=2000,10,IF(((1)*80+(MAX(0,C44-1))*200)&lt;=5000,15,IF(((1)*80+(MAX(0,C44-1))*200)&lt;=10000,60,110)))-10)*500,2)+ROUND((MAX(0,((1)*0.166864+(MAX(0,C44-1))*0.41716+(0)*1.0429000000000002+(0)*2.0858000000000003)+20*2*2*0.0035+30*(1/3600*0.128+5/3600*0.0106)-20)+IF(AND(((1)*55680.0+(MAX(0,C44-1))*139200.0+(0)*348000.0+(0)*696000.0)&lt;=1000000,((1)*1.536+(MAX(0,C44-1))*3.84+(0)*9.6+(0)*19.2)&lt;=1000),0,IF(((1)*55680.0+(MAX(0,C44-1))*139200.0+(0)*348000.0+(0)*696000.0)&lt;=10000000,20,IF(((1)*55680.0+(MAX(0,C44-1))*139200.0+(0)*348000.0+(0)*696000.0)&lt;=50000000,100,300)))+MAX(0,ROUNDUP(((1)*80+(MAX(0,C44-1))*200+(0)*500+(0)*1000)/5000,0)-1)*25+IF(((1)*80+(MAX(0,C44-1))*200+(0)*500+(0)*1000)&gt;5000,32-10,0))*500,2)),2)</f>
        <v>87635.66</v>
      </c>
      <c r="F44" s="10">
        <f>D44+E44</f>
        <v>178760.66</v>
      </c>
    </row>
    <row r="45">
      <c r="B45" s="5" t="inlineStr">
        <is>
          <t>Mes 11</t>
        </is>
      </c>
      <c r="C45" s="6">
        <f>'Clientes e Ingresos'!F16</f>
        <v>13.0</v>
      </c>
      <c r="D45" s="7">
        <f>$D$22</f>
        <v>91125.0</v>
      </c>
      <c r="E45" s="7">
        <f>ROUND(C45*$D$27+(ROUND((((80*2+20)*0.16/1000+(80*2+20)*32/1000000*0.12)*500),2)+80*2*(4000*0.4+300*1.6)/1000000*500+MAX(0,C45-1)*(ROUND((((200*2+20)*0.16/1000+(200*2+20)*32/1000000*0.12)*500),2)+200*2*(4000*0.4+300*1.6)/1000000*500))+C45*$D$29+'Clientes e Ingresos'!D16*(8*5000)+(ROUND((MAX(0,((1)*1+(MAX(0,C45-1))*3+(0)*8+(0)*16)-100)*0.0213+MAX(0,((1)*1.056+(MAX(0,C45-1))*2.6399999999999997+(0)*6.6+(0)*13.2)-250)*0.09+(MAX(0,ROUNDUP((((1)*0.06+(MAX(0,C45-1))*0.15)+((0)*0.375+(0)*0.75)*0.05)*2,0)-8)+((1)*0+(MAX(0,C45-1))*0+(0)*0+(0)*0))*0.125+IF(((1)*80+(MAX(0,C45-1))*200)&lt;=2000,10,IF(((1)*80+(MAX(0,C45-1))*200)&lt;=5000,15,IF(((1)*80+(MAX(0,C45-1))*200)&lt;=10000,60,110)))-10)*500,2)+ROUND((MAX(0,((1)*0.166864+(MAX(0,C45-1))*0.41716+(0)*1.0429000000000002+(0)*2.0858000000000003)+20*2*2*0.0035+30*(1/3600*0.128+5/3600*0.0106)-20)+IF(AND(((1)*55680.0+(MAX(0,C45-1))*139200.0+(0)*348000.0+(0)*696000.0)&lt;=1000000,((1)*1.536+(MAX(0,C45-1))*3.84+(0)*9.6+(0)*19.2)&lt;=1000),0,IF(((1)*55680.0+(MAX(0,C45-1))*139200.0+(0)*348000.0+(0)*696000.0)&lt;=10000000,20,IF(((1)*55680.0+(MAX(0,C45-1))*139200.0+(0)*348000.0+(0)*696000.0)&lt;=50000000,100,300)))+MAX(0,ROUNDUP(((1)*80+(MAX(0,C45-1))*200+(0)*500+(0)*1000)/5000,0)-1)*25+IF(((1)*80+(MAX(0,C45-1))*200+(0)*500+(0)*1000)&gt;5000,32-10,0))*500,2)),2)</f>
        <v>90586.07</v>
      </c>
      <c r="F45" s="7">
        <f>D45+E45</f>
        <v>181711.07</v>
      </c>
    </row>
    <row r="46">
      <c r="B46" s="8" t="inlineStr">
        <is>
          <t>Mes 12</t>
        </is>
      </c>
      <c r="C46" s="9">
        <f>'Clientes e Ingresos'!F17</f>
        <v>14.0</v>
      </c>
      <c r="D46" s="10">
        <f>$D$22</f>
        <v>91125.0</v>
      </c>
      <c r="E46" s="10">
        <f>ROUND(C46*$D$27+(ROUND((((80*2+20)*0.16/1000+(80*2+20)*32/1000000*0.12)*500),2)+80*2*(4000*0.4+300*1.6)/1000000*500+MAX(0,C46-1)*(ROUND((((200*2+20)*0.16/1000+(200*2+20)*32/1000000*0.12)*500),2)+200*2*(4000*0.4+300*1.6)/1000000*500))+C46*$D$29+'Clientes e Ingresos'!D17*(8*5000)+(ROUND((MAX(0,((1)*1+(MAX(0,C46-1))*3+(0)*8+(0)*16)-100)*0.0213+MAX(0,((1)*1.056+(MAX(0,C46-1))*2.6399999999999997+(0)*6.6+(0)*13.2)-250)*0.09+(MAX(0,ROUNDUP((((1)*0.06+(MAX(0,C46-1))*0.15)+((0)*0.375+(0)*0.75)*0.05)*2,0)-8)+((1)*0+(MAX(0,C46-1))*0+(0)*0+(0)*0))*0.125+IF(((1)*80+(MAX(0,C46-1))*200)&lt;=2000,10,IF(((1)*80+(MAX(0,C46-1))*200)&lt;=5000,15,IF(((1)*80+(MAX(0,C46-1))*200)&lt;=10000,60,110)))-10)*500,2)+ROUND((MAX(0,((1)*0.166864+(MAX(0,C46-1))*0.41716+(0)*1.0429000000000002+(0)*2.0858000000000003)+20*2*2*0.0035+30*(1/3600*0.128+5/3600*0.0106)-20)+IF(AND(((1)*55680.0+(MAX(0,C46-1))*139200.0+(0)*348000.0+(0)*696000.0)&lt;=1000000,((1)*1.536+(MAX(0,C46-1))*3.84+(0)*9.6+(0)*19.2)&lt;=1000),0,IF(((1)*55680.0+(MAX(0,C46-1))*139200.0+(0)*348000.0+(0)*696000.0)&lt;=10000000,20,IF(((1)*55680.0+(MAX(0,C46-1))*139200.0+(0)*348000.0+(0)*696000.0)&lt;=50000000,100,300)))+MAX(0,ROUNDUP(((1)*80+(MAX(0,C46-1))*200+(0)*500+(0)*1000)/5000,0)-1)*25+IF(((1)*80+(MAX(0,C46-1))*200+(0)*500+(0)*1000)&gt;5000,32-10,0))*500,2)),2)</f>
        <v>93536.48</v>
      </c>
      <c r="F46" s="10">
        <f>D46+E46</f>
        <v>184661.47999999998</v>
      </c>
    </row>
    <row r="47">
      <c r="B47" s="11" t="inlineStr">
        <is>
          <t>TOTAL AÑO 1</t>
        </is>
      </c>
      <c r="C47" s="19" t="n"/>
      <c r="D47" s="15">
        <f>SUM(D35:D46)</f>
        <v>1093500.0</v>
      </c>
      <c r="E47" s="15">
        <f>SUM(E35:E46)</f>
        <v>1081516.44</v>
      </c>
      <c r="F47" s="15">
        <f>SUM(F35:F46)</f>
        <v>2175016.44</v>
      </c>
    </row>
  </sheetData>
  <pageMargins left="0.75" right="0.75" top="1" bottom="1" header="0.5" footer="0.5"/>
  <legacyDrawing r:id="anysvml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H32"/>
  <sheetViews>
    <sheetView topLeftCell="A6" workbookViewId="0">
      <selection activeCell="E31" sqref="E31"/>
    </sheetView>
  </sheetViews>
  <sheetFormatPr baseColWidth="10" defaultColWidth="8.88671875" defaultRowHeight="14.4"/>
  <cols>
    <col width="12" customWidth="1" min="1" max="1"/>
    <col width="30" customWidth="1" min="2" max="2"/>
    <col width="25" customWidth="1" min="3" max="3"/>
    <col width="22" customWidth="1" min="4" max="4"/>
    <col width="20" customWidth="1" min="5" max="5"/>
    <col width="22" customWidth="1" min="6" max="7"/>
    <col width="16" customWidth="1" min="8" max="8"/>
  </cols>
  <sheetData>
    <row r="2" ht="21" customHeight="1">
      <c r="B2" s="1" t="inlineStr">
        <is>
          <t>ANÁLISIS DE PUNTO DE EQUILIBRIO</t>
        </is>
      </c>
    </row>
    <row r="3">
      <c r="B3" s="2" t="inlineStr">
        <is>
          <t>Escenario: 1 Starter y el resto Pro Gym. Operación mensual; excluye instalación y desarrollo inicial.</t>
        </is>
      </c>
    </row>
    <row r="5" ht="17.4" customHeight="1">
      <c r="B5" s="3" t="inlineStr">
        <is>
          <t>VARIABLES DE ENTRADA</t>
        </is>
      </c>
    </row>
    <row r="6">
      <c r="B6" s="49" t="inlineStr">
        <is>
          <t>Precio medio de la mezcla inicial</t>
        </is>
      </c>
      <c r="C6" s="53" t="n"/>
      <c r="D6" s="20">
        <f>'Clientes e Ingresos'!G6</f>
        <v>23000.0</v>
      </c>
    </row>
    <row r="7">
      <c r="B7" s="49" t="inlineStr">
        <is>
          <t>Costo Variable por Gimnasio (CVU)</t>
        </is>
      </c>
      <c r="C7" s="53" t="n"/>
      <c r="D7" s="20">
        <f>'Egresos e Inversión'!D30</f>
        <v>2896.558</v>
      </c>
    </row>
    <row r="8">
      <c r="B8" s="49" t="inlineStr">
        <is>
          <t>Margen de Contribución Unitario (MC = P - CVU)</t>
        </is>
      </c>
      <c r="C8" s="53" t="n"/>
      <c r="D8" s="20">
        <f>D6-D7</f>
        <v>20103.442</v>
      </c>
    </row>
    <row r="9">
      <c r="B9" s="49" t="inlineStr">
        <is>
          <t>Costos Fijos Mensuales Base (CF)</t>
        </is>
      </c>
      <c r="C9" s="53" t="n"/>
      <c r="D9" s="20">
        <f>'Egresos e Inversión'!D22</f>
        <v>91125.0</v>
      </c>
    </row>
    <row r="11" ht="17.4" customHeight="1">
      <c r="B11" s="3" t="inlineStr">
        <is>
          <t>RESULTADO DEL PUNTO DE EQUILIBRIO</t>
        </is>
      </c>
    </row>
    <row r="12">
      <c r="B12" s="49" t="inlineStr">
        <is>
          <t>Umbral teórico (sin salto de nube)</t>
        </is>
      </c>
      <c r="C12" s="53" t="n"/>
      <c r="D12" s="21">
        <f>(D9+2681.15-2950.41-15000+25000)/(25000-2950.41)</f>
        <v>4.574041512790033</v>
      </c>
    </row>
    <row r="13">
      <c r="B13" s="48" t="inlineStr">
        <is>
          <t>Gimnasios Requeridos (Redondeado)</t>
        </is>
      </c>
      <c r="C13" s="53" t="n"/>
      <c r="D13" s="22">
        <f>IF(MIN(IF(G18&gt;=0,B18,999),IF(G19&gt;=0,B19,999),IF(G20&gt;=0,B20,999),IF(G21&gt;=0,B21,999),IF(G22&gt;=0,B22,999),IF(G23&gt;=0,B23,999),IF(G24&gt;=0,B24,999),IF(G25&gt;=0,B25,999),IF(G26&gt;=0,B26,999),IF(G27&gt;=0,B27,999),IF(G28&gt;=0,B28,999),IF(G29&gt;=0,B29,999),IF(G30&gt;=0,B30,999),IF(G31&gt;=0,B31,999),IF(G32&gt;=0,B32,999))=999,"Fuera de tabla",MIN(IF(G18&gt;=0,B18,999),IF(G19&gt;=0,B19,999),IF(G20&gt;=0,B20,999),IF(G21&gt;=0,B21,999),IF(G22&gt;=0,B22,999),IF(G23&gt;=0,B23,999),IF(G24&gt;=0,B24,999),IF(G25&gt;=0,B25,999),IF(G26&gt;=0,B26,999),IF(G27&gt;=0,B27,999),IF(G28&gt;=0,B28,999),IF(G29&gt;=0,B29,999),IF(G30&gt;=0,B30,999),IF(G31&gt;=0,B31,999),IF(G32&gt;=0,B32,999)))</f>
        <v>5</v>
      </c>
      <c r="E13" t="inlineStr">
        <is>
          <t>Equilibrio de operación; recuperar inversión y altas requiere revisar el acumulado anual.</t>
        </is>
      </c>
    </row>
    <row r="14" ht="23.4" customHeight="1">
      <c r="B14" s="48" t="inlineStr">
        <is>
          <t>Facturación Mínima Mensual (₡)</t>
        </is>
      </c>
      <c r="C14" s="53" t="n"/>
      <c r="D14" s="23">
        <f>IF(ISNUMBER(D13),15000+MAX(0,D13-1)*25000,"Fuera de tabla")</f>
        <v>115000.0</v>
      </c>
    </row>
    <row r="16" ht="17.4" customHeight="1">
      <c r="B16" s="3" t="inlineStr">
        <is>
          <t>TABLA DE SENSIBILIDAD Y RESULTADO OPERATIVO SEGÚN VOLUMEN</t>
        </is>
      </c>
    </row>
    <row r="17">
      <c r="B17" s="4" t="inlineStr">
        <is>
          <t>N° Gimnasios</t>
        </is>
      </c>
      <c r="C17" s="17" t="inlineStr">
        <is>
          <t>Ingresos Totales (₡)</t>
        </is>
      </c>
      <c r="D17" s="17" t="inlineStr">
        <is>
          <t>Variables + nube (₡)</t>
        </is>
      </c>
      <c r="E17" s="17" t="inlineStr">
        <is>
          <t>Costos Fijos (₡)</t>
        </is>
      </c>
      <c r="F17" s="17" t="inlineStr">
        <is>
          <t>Egresos Totales (₡)</t>
        </is>
      </c>
      <c r="G17" s="17" t="inlineStr">
        <is>
          <t>Resultado Operativo (₡)</t>
        </is>
      </c>
      <c r="H17" s="4" t="inlineStr">
        <is>
          <t>Estado</t>
        </is>
      </c>
    </row>
    <row r="18">
      <c r="B18" s="9" t="n">
        <v>1</v>
      </c>
      <c r="C18" s="10">
        <f>15000+MAX(0,B18-1)*25000</f>
        <v>15000.0</v>
      </c>
      <c r="D18" s="10">
        <f>ROUND(B18*'Egresos e Inversión'!$D$27+(ROUND((((80*2+20)*0.16/1000+(80*2+20)*32/1000000*0.12)*500),2)+80*2*(4000*0.4+300*1.6)/1000000*500+MAX(0,B18-1)*(ROUND((((200*2+20)*0.16/1000+(200*2+20)*32/1000000*0.12)*500),2)+200*2*(4000*0.4+300*1.6)/1000000*500))+B18*'Egresos e Inversión'!$D$29+(ROUND((MAX(0,((1)*1+(MAX(0,B18-1))*3+(0)*8+(0)*16)-100)*0.0213+MAX(0,((1)*1.056+(MAX(0,B18-1))*2.6399999999999997+(0)*6.6+(0)*13.2)-250)*0.09+(MAX(0,ROUNDUP((((1)*0.06+(MAX(0,B18-1))*0.15)+((0)*0.375+(0)*0.75)*0.05)*2,0)-8)+((1)*0+(MAX(0,B18-1))*0+(0)*0+(0)*0))*0.125+IF(((1)*80+(MAX(0,B18-1))*200)&lt;=2000,10,IF(((1)*80+(MAX(0,B18-1))*200)&lt;=5000,15,IF(((1)*80+(MAX(0,B18-1))*200)&lt;=10000,60,110)))-10)*500,2)+ROUND((MAX(0,((1)*0.166864+(MAX(0,B18-1))*0.41716+(0)*1.0429000000000002+(0)*2.0858000000000003)+20*2*2*0.0035+30*(1/3600*0.128+5/3600*0.0106)-20)+IF(AND(((1)*55680.0+(MAX(0,B18-1))*139200.0+(0)*348000.0+(0)*696000.0)&lt;=1000000,((1)*1.536+(MAX(0,B18-1))*3.84+(0)*9.6+(0)*19.2)&lt;=1000),0,IF(((1)*55680.0+(MAX(0,B18-1))*139200.0+(0)*348000.0+(0)*696000.0)&lt;=10000000,20,IF(((1)*55680.0+(MAX(0,B18-1))*139200.0+(0)*348000.0+(0)*696000.0)&lt;=50000000,100,300)))+MAX(0,ROUNDUP(((1)*80+(MAX(0,B18-1))*200+(0)*500+(0)*1000)/5000,0)-1)*25+IF(((1)*80+(MAX(0,B18-1))*200+(0)*500+(0)*1000)&gt;5000,32-10,0))*500,2)),2)</f>
        <v>2681.15</v>
      </c>
      <c r="E18" s="10">
        <f>$D$9</f>
        <v>91125.0</v>
      </c>
      <c r="F18" s="10">
        <f>D18+E18</f>
        <v>93806.15</v>
      </c>
      <c r="G18" s="10">
        <f>C18-F18</f>
        <v>-78806.15</v>
      </c>
      <c r="H18" s="8" t="str">
        <f>IF(G18&lt;0,"Pérdida",IF(G18=0,"Equilibrio","Ganancia"))</f>
        <v>Pérdida</v>
      </c>
    </row>
    <row r="19">
      <c r="B19" s="6" t="n">
        <v>2</v>
      </c>
      <c r="C19" s="7">
        <f>15000+MAX(0,B19-1)*25000</f>
        <v>40000.0</v>
      </c>
      <c r="D19" s="7">
        <f>ROUND(B19*'Egresos e Inversión'!$D$27+(ROUND((((80*2+20)*0.16/1000+(80*2+20)*32/1000000*0.12)*500),2)+80*2*(4000*0.4+300*1.6)/1000000*500+MAX(0,B19-1)*(ROUND((((200*2+20)*0.16/1000+(200*2+20)*32/1000000*0.12)*500),2)+200*2*(4000*0.4+300*1.6)/1000000*500))+B19*'Egresos e Inversión'!$D$29+(ROUND((MAX(0,((1)*1+(MAX(0,B19-1))*3+(0)*8+(0)*16)-100)*0.0213+MAX(0,((1)*1.056+(MAX(0,B19-1))*2.6399999999999997+(0)*6.6+(0)*13.2)-250)*0.09+(MAX(0,ROUNDUP((((1)*0.06+(MAX(0,B19-1))*0.15)+((0)*0.375+(0)*0.75)*0.05)*2,0)-8)+((1)*0+(MAX(0,B19-1))*0+(0)*0+(0)*0))*0.125+IF(((1)*80+(MAX(0,B19-1))*200)&lt;=2000,10,IF(((1)*80+(MAX(0,B19-1))*200)&lt;=5000,15,IF(((1)*80+(MAX(0,B19-1))*200)&lt;=10000,60,110)))-10)*500,2)+ROUND((MAX(0,((1)*0.166864+(MAX(0,B19-1))*0.41716+(0)*1.0429000000000002+(0)*2.0858000000000003)+20*2*2*0.0035+30*(1/3600*0.128+5/3600*0.0106)-20)+IF(AND(((1)*55680.0+(MAX(0,B19-1))*139200.0+(0)*348000.0+(0)*696000.0)&lt;=1000000,((1)*1.536+(MAX(0,B19-1))*3.84+(0)*9.6+(0)*19.2)&lt;=1000),0,IF(((1)*55680.0+(MAX(0,B19-1))*139200.0+(0)*348000.0+(0)*696000.0)&lt;=10000000,20,IF(((1)*55680.0+(MAX(0,B19-1))*139200.0+(0)*348000.0+(0)*696000.0)&lt;=50000000,100,300)))+MAX(0,ROUNDUP(((1)*80+(MAX(0,B19-1))*200+(0)*500+(0)*1000)/5000,0)-1)*25+IF(((1)*80+(MAX(0,B19-1))*200+(0)*500+(0)*1000)&gt;5000,32-10,0))*500,2)),2)</f>
        <v>5631.56</v>
      </c>
      <c r="E19" s="7">
        <f>$D$9</f>
        <v>91125.0</v>
      </c>
      <c r="F19" s="7">
        <f>D19+E19</f>
        <v>96756.56</v>
      </c>
      <c r="G19" s="7">
        <f>C19-F19</f>
        <v>-56756.56</v>
      </c>
      <c r="H19" s="5" t="str">
        <f>IF(G19&lt;0,"Pérdida",IF(G19=0,"Equilibrio","Ganancia"))</f>
        <v>Pérdida</v>
      </c>
    </row>
    <row r="20">
      <c r="B20" s="9" t="n">
        <v>3</v>
      </c>
      <c r="C20" s="10">
        <f>15000+MAX(0,B20-1)*25000</f>
        <v>65000.0</v>
      </c>
      <c r="D20" s="10">
        <f>ROUND(B20*'Egresos e Inversión'!$D$27+(ROUND((((80*2+20)*0.16/1000+(80*2+20)*32/1000000*0.12)*500),2)+80*2*(4000*0.4+300*1.6)/1000000*500+MAX(0,B20-1)*(ROUND((((200*2+20)*0.16/1000+(200*2+20)*32/1000000*0.12)*500),2)+200*2*(4000*0.4+300*1.6)/1000000*500))+B20*'Egresos e Inversión'!$D$29+(ROUND((MAX(0,((1)*1+(MAX(0,B20-1))*3+(0)*8+(0)*16)-100)*0.0213+MAX(0,((1)*1.056+(MAX(0,B20-1))*2.6399999999999997+(0)*6.6+(0)*13.2)-250)*0.09+(MAX(0,ROUNDUP((((1)*0.06+(MAX(0,B20-1))*0.15)+((0)*0.375+(0)*0.75)*0.05)*2,0)-8)+((1)*0+(MAX(0,B20-1))*0+(0)*0+(0)*0))*0.125+IF(((1)*80+(MAX(0,B20-1))*200)&lt;=2000,10,IF(((1)*80+(MAX(0,B20-1))*200)&lt;=5000,15,IF(((1)*80+(MAX(0,B20-1))*200)&lt;=10000,60,110)))-10)*500,2)+ROUND((MAX(0,((1)*0.166864+(MAX(0,B20-1))*0.41716+(0)*1.0429000000000002+(0)*2.0858000000000003)+20*2*2*0.0035+30*(1/3600*0.128+5/3600*0.0106)-20)+IF(AND(((1)*55680.0+(MAX(0,B20-1))*139200.0+(0)*348000.0+(0)*696000.0)&lt;=1000000,((1)*1.536+(MAX(0,B20-1))*3.84+(0)*9.6+(0)*19.2)&lt;=1000),0,IF(((1)*55680.0+(MAX(0,B20-1))*139200.0+(0)*348000.0+(0)*696000.0)&lt;=10000000,20,IF(((1)*55680.0+(MAX(0,B20-1))*139200.0+(0)*348000.0+(0)*696000.0)&lt;=50000000,100,300)))+MAX(0,ROUNDUP(((1)*80+(MAX(0,B20-1))*200+(0)*500+(0)*1000)/5000,0)-1)*25+IF(((1)*80+(MAX(0,B20-1))*200+(0)*500+(0)*1000)&gt;5000,32-10,0))*500,2)),2)</f>
        <v>8581.97</v>
      </c>
      <c r="E20" s="10">
        <f>$D$9</f>
        <v>91125.0</v>
      </c>
      <c r="F20" s="10">
        <f>D20+E20</f>
        <v>99706.97</v>
      </c>
      <c r="G20" s="10">
        <f>C20-F20</f>
        <v>-34706.97</v>
      </c>
      <c r="H20" s="8" t="str">
        <f>IF(G20&lt;0,"Pérdida",IF(G20=0,"Equilibrio","Ganancia"))</f>
        <v>Pérdida</v>
      </c>
    </row>
    <row r="21">
      <c r="B21" s="6" t="n">
        <v>4</v>
      </c>
      <c r="C21" s="7">
        <f>15000+MAX(0,B21-1)*25000</f>
        <v>90000.0</v>
      </c>
      <c r="D21" s="7">
        <f>ROUND(B21*'Egresos e Inversión'!$D$27+(ROUND((((80*2+20)*0.16/1000+(80*2+20)*32/1000000*0.12)*500),2)+80*2*(4000*0.4+300*1.6)/1000000*500+MAX(0,B21-1)*(ROUND((((200*2+20)*0.16/1000+(200*2+20)*32/1000000*0.12)*500),2)+200*2*(4000*0.4+300*1.6)/1000000*500))+B21*'Egresos e Inversión'!$D$29+(ROUND((MAX(0,((1)*1+(MAX(0,B21-1))*3+(0)*8+(0)*16)-100)*0.0213+MAX(0,((1)*1.056+(MAX(0,B21-1))*2.6399999999999997+(0)*6.6+(0)*13.2)-250)*0.09+(MAX(0,ROUNDUP((((1)*0.06+(MAX(0,B21-1))*0.15)+((0)*0.375+(0)*0.75)*0.05)*2,0)-8)+((1)*0+(MAX(0,B21-1))*0+(0)*0+(0)*0))*0.125+IF(((1)*80+(MAX(0,B21-1))*200)&lt;=2000,10,IF(((1)*80+(MAX(0,B21-1))*200)&lt;=5000,15,IF(((1)*80+(MAX(0,B21-1))*200)&lt;=10000,60,110)))-10)*500,2)+ROUND((MAX(0,((1)*0.166864+(MAX(0,B21-1))*0.41716+(0)*1.0429000000000002+(0)*2.0858000000000003)+20*2*2*0.0035+30*(1/3600*0.128+5/3600*0.0106)-20)+IF(AND(((1)*55680.0+(MAX(0,B21-1))*139200.0+(0)*348000.0+(0)*696000.0)&lt;=1000000,((1)*1.536+(MAX(0,B21-1))*3.84+(0)*9.6+(0)*19.2)&lt;=1000),0,IF(((1)*55680.0+(MAX(0,B21-1))*139200.0+(0)*348000.0+(0)*696000.0)&lt;=10000000,20,IF(((1)*55680.0+(MAX(0,B21-1))*139200.0+(0)*348000.0+(0)*696000.0)&lt;=50000000,100,300)))+MAX(0,ROUNDUP(((1)*80+(MAX(0,B21-1))*200+(0)*500+(0)*1000)/5000,0)-1)*25+IF(((1)*80+(MAX(0,B21-1))*200+(0)*500+(0)*1000)&gt;5000,32-10,0))*500,2)),2)</f>
        <v>11532.38</v>
      </c>
      <c r="E21" s="7">
        <f>$D$9</f>
        <v>91125.0</v>
      </c>
      <c r="F21" s="7">
        <f>D21+E21</f>
        <v>102657.38</v>
      </c>
      <c r="G21" s="7">
        <f>C21-F21</f>
        <v>-12657.380000000005</v>
      </c>
      <c r="H21" s="5" t="str">
        <f>IF(G21&lt;0,"Pérdida",IF(G21=0,"Equilibrio","Ganancia"))</f>
        <v>Pérdida</v>
      </c>
    </row>
    <row r="22">
      <c r="B22" s="24" t="n">
        <v>5</v>
      </c>
      <c r="C22" s="25">
        <f>15000+MAX(0,B22-1)*25000</f>
        <v>115000.0</v>
      </c>
      <c r="D22" s="25">
        <f>ROUND(B22*'Egresos e Inversión'!$D$27+(ROUND((((80*2+20)*0.16/1000+(80*2+20)*32/1000000*0.12)*500),2)+80*2*(4000*0.4+300*1.6)/1000000*500+MAX(0,B22-1)*(ROUND((((200*2+20)*0.16/1000+(200*2+20)*32/1000000*0.12)*500),2)+200*2*(4000*0.4+300*1.6)/1000000*500))+B22*'Egresos e Inversión'!$D$29+(ROUND((MAX(0,((1)*1+(MAX(0,B22-1))*3+(0)*8+(0)*16)-100)*0.0213+MAX(0,((1)*1.056+(MAX(0,B22-1))*2.6399999999999997+(0)*6.6+(0)*13.2)-250)*0.09+(MAX(0,ROUNDUP((((1)*0.06+(MAX(0,B22-1))*0.15)+((0)*0.375+(0)*0.75)*0.05)*2,0)-8)+((1)*0+(MAX(0,B22-1))*0+(0)*0+(0)*0))*0.125+IF(((1)*80+(MAX(0,B22-1))*200)&lt;=2000,10,IF(((1)*80+(MAX(0,B22-1))*200)&lt;=5000,15,IF(((1)*80+(MAX(0,B22-1))*200)&lt;=10000,60,110)))-10)*500,2)+ROUND((MAX(0,((1)*0.166864+(MAX(0,B22-1))*0.41716+(0)*1.0429000000000002+(0)*2.0858000000000003)+20*2*2*0.0035+30*(1/3600*0.128+5/3600*0.0106)-20)+IF(AND(((1)*55680.0+(MAX(0,B22-1))*139200.0+(0)*348000.0+(0)*696000.0)&lt;=1000000,((1)*1.536+(MAX(0,B22-1))*3.84+(0)*9.6+(0)*19.2)&lt;=1000),0,IF(((1)*55680.0+(MAX(0,B22-1))*139200.0+(0)*348000.0+(0)*696000.0)&lt;=10000000,20,IF(((1)*55680.0+(MAX(0,B22-1))*139200.0+(0)*348000.0+(0)*696000.0)&lt;=50000000,100,300)))+MAX(0,ROUNDUP(((1)*80+(MAX(0,B22-1))*200+(0)*500+(0)*1000)/5000,0)-1)*25+IF(((1)*80+(MAX(0,B22-1))*200+(0)*500+(0)*1000)&gt;5000,32-10,0))*500,2)),2)</f>
        <v>14482.79</v>
      </c>
      <c r="E22" s="25">
        <f>$D$9</f>
        <v>91125.0</v>
      </c>
      <c r="F22" s="25">
        <f>D22+E22</f>
        <v>105607.79000000001</v>
      </c>
      <c r="G22" s="25">
        <f>C22-F22</f>
        <v>9392.209999999992</v>
      </c>
      <c r="H22" s="26" t="str">
        <f>IF(G22&lt;0,"Pérdida",IF(G22=0,"Equilibrio","Ganancia"))</f>
        <v>Ganancia</v>
      </c>
    </row>
    <row r="23">
      <c r="B23" s="6" t="n">
        <v>6</v>
      </c>
      <c r="C23" s="7">
        <f>15000+MAX(0,B23-1)*25000</f>
        <v>140000.0</v>
      </c>
      <c r="D23" s="7">
        <f>ROUND(B23*'Egresos e Inversión'!$D$27+(ROUND((((80*2+20)*0.16/1000+(80*2+20)*32/1000000*0.12)*500),2)+80*2*(4000*0.4+300*1.6)/1000000*500+MAX(0,B23-1)*(ROUND((((200*2+20)*0.16/1000+(200*2+20)*32/1000000*0.12)*500),2)+200*2*(4000*0.4+300*1.6)/1000000*500))+B23*'Egresos e Inversión'!$D$29+(ROUND((MAX(0,((1)*1+(MAX(0,B23-1))*3+(0)*8+(0)*16)-100)*0.0213+MAX(0,((1)*1.056+(MAX(0,B23-1))*2.6399999999999997+(0)*6.6+(0)*13.2)-250)*0.09+(MAX(0,ROUNDUP((((1)*0.06+(MAX(0,B23-1))*0.15)+((0)*0.375+(0)*0.75)*0.05)*2,0)-8)+((1)*0+(MAX(0,B23-1))*0+(0)*0+(0)*0))*0.125+IF(((1)*80+(MAX(0,B23-1))*200)&lt;=2000,10,IF(((1)*80+(MAX(0,B23-1))*200)&lt;=5000,15,IF(((1)*80+(MAX(0,B23-1))*200)&lt;=10000,60,110)))-10)*500,2)+ROUND((MAX(0,((1)*0.166864+(MAX(0,B23-1))*0.41716+(0)*1.0429000000000002+(0)*2.0858000000000003)+20*2*2*0.0035+30*(1/3600*0.128+5/3600*0.0106)-20)+IF(AND(((1)*55680.0+(MAX(0,B23-1))*139200.0+(0)*348000.0+(0)*696000.0)&lt;=1000000,((1)*1.536+(MAX(0,B23-1))*3.84+(0)*9.6+(0)*19.2)&lt;=1000),0,IF(((1)*55680.0+(MAX(0,B23-1))*139200.0+(0)*348000.0+(0)*696000.0)&lt;=10000000,20,IF(((1)*55680.0+(MAX(0,B23-1))*139200.0+(0)*348000.0+(0)*696000.0)&lt;=50000000,100,300)))+MAX(0,ROUNDUP(((1)*80+(MAX(0,B23-1))*200+(0)*500+(0)*1000)/5000,0)-1)*25+IF(((1)*80+(MAX(0,B23-1))*200+(0)*500+(0)*1000)&gt;5000,32-10,0))*500,2)),2)</f>
        <v>17433.2</v>
      </c>
      <c r="E23" s="7">
        <f>$D$9</f>
        <v>91125.0</v>
      </c>
      <c r="F23" s="7">
        <f>D23+E23</f>
        <v>108558.2</v>
      </c>
      <c r="G23" s="7">
        <f>C23-F23</f>
        <v>31441.800000000003</v>
      </c>
      <c r="H23" s="5" t="str">
        <f>IF(G23&lt;0,"Pérdida",IF(G23=0,"Equilibrio","Ganancia"))</f>
        <v>Ganancia</v>
      </c>
    </row>
    <row r="24">
      <c r="B24" s="9" t="n">
        <v>7</v>
      </c>
      <c r="C24" s="10">
        <f>15000+MAX(0,B24-1)*25000</f>
        <v>165000.0</v>
      </c>
      <c r="D24" s="10">
        <f>ROUND(B24*'Egresos e Inversión'!$D$27+(ROUND((((80*2+20)*0.16/1000+(80*2+20)*32/1000000*0.12)*500),2)+80*2*(4000*0.4+300*1.6)/1000000*500+MAX(0,B24-1)*(ROUND((((200*2+20)*0.16/1000+(200*2+20)*32/1000000*0.12)*500),2)+200*2*(4000*0.4+300*1.6)/1000000*500))+B24*'Egresos e Inversión'!$D$29+(ROUND((MAX(0,((1)*1+(MAX(0,B24-1))*3+(0)*8+(0)*16)-100)*0.0213+MAX(0,((1)*1.056+(MAX(0,B24-1))*2.6399999999999997+(0)*6.6+(0)*13.2)-250)*0.09+(MAX(0,ROUNDUP((((1)*0.06+(MAX(0,B24-1))*0.15)+((0)*0.375+(0)*0.75)*0.05)*2,0)-8)+((1)*0+(MAX(0,B24-1))*0+(0)*0+(0)*0))*0.125+IF(((1)*80+(MAX(0,B24-1))*200)&lt;=2000,10,IF(((1)*80+(MAX(0,B24-1))*200)&lt;=5000,15,IF(((1)*80+(MAX(0,B24-1))*200)&lt;=10000,60,110)))-10)*500,2)+ROUND((MAX(0,((1)*0.166864+(MAX(0,B24-1))*0.41716+(0)*1.0429000000000002+(0)*2.0858000000000003)+20*2*2*0.0035+30*(1/3600*0.128+5/3600*0.0106)-20)+IF(AND(((1)*55680.0+(MAX(0,B24-1))*139200.0+(0)*348000.0+(0)*696000.0)&lt;=1000000,((1)*1.536+(MAX(0,B24-1))*3.84+(0)*9.6+(0)*19.2)&lt;=1000),0,IF(((1)*55680.0+(MAX(0,B24-1))*139200.0+(0)*348000.0+(0)*696000.0)&lt;=10000000,20,IF(((1)*55680.0+(MAX(0,B24-1))*139200.0+(0)*348000.0+(0)*696000.0)&lt;=50000000,100,300)))+MAX(0,ROUNDUP(((1)*80+(MAX(0,B24-1))*200+(0)*500+(0)*1000)/5000,0)-1)*25+IF(((1)*80+(MAX(0,B24-1))*200+(0)*500+(0)*1000)&gt;5000,32-10,0))*500,2)),2)</f>
        <v>20383.61</v>
      </c>
      <c r="E24" s="10">
        <f>$D$9</f>
        <v>91125.0</v>
      </c>
      <c r="F24" s="10">
        <f>D24+E24</f>
        <v>111508.61</v>
      </c>
      <c r="G24" s="10">
        <f>C24-F24</f>
        <v>53491.39</v>
      </c>
      <c r="H24" s="8" t="str">
        <f>IF(G24&lt;0,"Pérdida",IF(G24=0,"Equilibrio","Ganancia"))</f>
        <v>Ganancia</v>
      </c>
    </row>
    <row r="25">
      <c r="B25" s="6" t="n">
        <v>8</v>
      </c>
      <c r="C25" s="7">
        <f>15000+MAX(0,B25-1)*25000</f>
        <v>190000.0</v>
      </c>
      <c r="D25" s="7">
        <f>ROUND(B25*'Egresos e Inversión'!$D$27+(ROUND((((80*2+20)*0.16/1000+(80*2+20)*32/1000000*0.12)*500),2)+80*2*(4000*0.4+300*1.6)/1000000*500+MAX(0,B25-1)*(ROUND((((200*2+20)*0.16/1000+(200*2+20)*32/1000000*0.12)*500),2)+200*2*(4000*0.4+300*1.6)/1000000*500))+B25*'Egresos e Inversión'!$D$29+(ROUND((MAX(0,((1)*1+(MAX(0,B25-1))*3+(0)*8+(0)*16)-100)*0.0213+MAX(0,((1)*1.056+(MAX(0,B25-1))*2.6399999999999997+(0)*6.6+(0)*13.2)-250)*0.09+(MAX(0,ROUNDUP((((1)*0.06+(MAX(0,B25-1))*0.15)+((0)*0.375+(0)*0.75)*0.05)*2,0)-8)+((1)*0+(MAX(0,B25-1))*0+(0)*0+(0)*0))*0.125+IF(((1)*80+(MAX(0,B25-1))*200)&lt;=2000,10,IF(((1)*80+(MAX(0,B25-1))*200)&lt;=5000,15,IF(((1)*80+(MAX(0,B25-1))*200)&lt;=10000,60,110)))-10)*500,2)+ROUND((MAX(0,((1)*0.166864+(MAX(0,B25-1))*0.41716+(0)*1.0429000000000002+(0)*2.0858000000000003)+20*2*2*0.0035+30*(1/3600*0.128+5/3600*0.0106)-20)+IF(AND(((1)*55680.0+(MAX(0,B25-1))*139200.0+(0)*348000.0+(0)*696000.0)&lt;=1000000,((1)*1.536+(MAX(0,B25-1))*3.84+(0)*9.6+(0)*19.2)&lt;=1000),0,IF(((1)*55680.0+(MAX(0,B25-1))*139200.0+(0)*348000.0+(0)*696000.0)&lt;=10000000,20,IF(((1)*55680.0+(MAX(0,B25-1))*139200.0+(0)*348000.0+(0)*696000.0)&lt;=50000000,100,300)))+MAX(0,ROUNDUP(((1)*80+(MAX(0,B25-1))*200+(0)*500+(0)*1000)/5000,0)-1)*25+IF(((1)*80+(MAX(0,B25-1))*200+(0)*500+(0)*1000)&gt;5000,32-10,0))*500,2)),2)</f>
        <v>33334.02</v>
      </c>
      <c r="E25" s="7">
        <f>$D$9</f>
        <v>91125.0</v>
      </c>
      <c r="F25" s="7">
        <f>D25+E25</f>
        <v>124459.01999999999</v>
      </c>
      <c r="G25" s="7">
        <f>C25-F25</f>
        <v>65540.98000000001</v>
      </c>
      <c r="H25" s="5" t="str">
        <f>IF(G25&lt;0,"Pérdida",IF(G25=0,"Equilibrio","Ganancia"))</f>
        <v>Ganancia</v>
      </c>
    </row>
    <row r="26">
      <c r="B26" s="9" t="n">
        <v>9</v>
      </c>
      <c r="C26" s="10">
        <f>15000+MAX(0,B26-1)*25000</f>
        <v>215000.0</v>
      </c>
      <c r="D26" s="10">
        <f>ROUND(B26*'Egresos e Inversión'!$D$27+(ROUND((((80*2+20)*0.16/1000+(80*2+20)*32/1000000*0.12)*500),2)+80*2*(4000*0.4+300*1.6)/1000000*500+MAX(0,B26-1)*(ROUND((((200*2+20)*0.16/1000+(200*2+20)*32/1000000*0.12)*500),2)+200*2*(4000*0.4+300*1.6)/1000000*500))+B26*'Egresos e Inversión'!$D$29+(ROUND((MAX(0,((1)*1+(MAX(0,B26-1))*3+(0)*8+(0)*16)-100)*0.0213+MAX(0,((1)*1.056+(MAX(0,B26-1))*2.6399999999999997+(0)*6.6+(0)*13.2)-250)*0.09+(MAX(0,ROUNDUP((((1)*0.06+(MAX(0,B26-1))*0.15)+((0)*0.375+(0)*0.75)*0.05)*2,0)-8)+((1)*0+(MAX(0,B26-1))*0+(0)*0+(0)*0))*0.125+IF(((1)*80+(MAX(0,B26-1))*200)&lt;=2000,10,IF(((1)*80+(MAX(0,B26-1))*200)&lt;=5000,15,IF(((1)*80+(MAX(0,B26-1))*200)&lt;=10000,60,110)))-10)*500,2)+ROUND((MAX(0,((1)*0.166864+(MAX(0,B26-1))*0.41716+(0)*1.0429000000000002+(0)*2.0858000000000003)+20*2*2*0.0035+30*(1/3600*0.128+5/3600*0.0106)-20)+IF(AND(((1)*55680.0+(MAX(0,B26-1))*139200.0+(0)*348000.0+(0)*696000.0)&lt;=1000000,((1)*1.536+(MAX(0,B26-1))*3.84+(0)*9.6+(0)*19.2)&lt;=1000),0,IF(((1)*55680.0+(MAX(0,B26-1))*139200.0+(0)*348000.0+(0)*696000.0)&lt;=10000000,20,IF(((1)*55680.0+(MAX(0,B26-1))*139200.0+(0)*348000.0+(0)*696000.0)&lt;=50000000,100,300)))+MAX(0,ROUNDUP(((1)*80+(MAX(0,B26-1))*200+(0)*500+(0)*1000)/5000,0)-1)*25+IF(((1)*80+(MAX(0,B26-1))*200+(0)*500+(0)*1000)&gt;5000,32-10,0))*500,2)),2)</f>
        <v>36284.43</v>
      </c>
      <c r="E26" s="10">
        <f>$D$9</f>
        <v>91125.0</v>
      </c>
      <c r="F26" s="10">
        <f>D26+E26</f>
        <v>127409.43</v>
      </c>
      <c r="G26" s="10">
        <f>C26-F26</f>
        <v>87590.57</v>
      </c>
      <c r="H26" s="8" t="str">
        <f>IF(G26&lt;0,"Pérdida",IF(G26=0,"Equilibrio","Ganancia"))</f>
        <v>Ganancia</v>
      </c>
    </row>
    <row r="27">
      <c r="B27" s="6" t="n">
        <v>10</v>
      </c>
      <c r="C27" s="7">
        <f>15000+MAX(0,B27-1)*25000</f>
        <v>240000.0</v>
      </c>
      <c r="D27" s="7">
        <f>ROUND(B27*'Egresos e Inversión'!$D$27+(ROUND((((80*2+20)*0.16/1000+(80*2+20)*32/1000000*0.12)*500),2)+80*2*(4000*0.4+300*1.6)/1000000*500+MAX(0,B27-1)*(ROUND((((200*2+20)*0.16/1000+(200*2+20)*32/1000000*0.12)*500),2)+200*2*(4000*0.4+300*1.6)/1000000*500))+B27*'Egresos e Inversión'!$D$29+(ROUND((MAX(0,((1)*1+(MAX(0,B27-1))*3+(0)*8+(0)*16)-100)*0.0213+MAX(0,((1)*1.056+(MAX(0,B27-1))*2.6399999999999997+(0)*6.6+(0)*13.2)-250)*0.09+(MAX(0,ROUNDUP((((1)*0.06+(MAX(0,B27-1))*0.15)+((0)*0.375+(0)*0.75)*0.05)*2,0)-8)+((1)*0+(MAX(0,B27-1))*0+(0)*0+(0)*0))*0.125+IF(((1)*80+(MAX(0,B27-1))*200)&lt;=2000,10,IF(((1)*80+(MAX(0,B27-1))*200)&lt;=5000,15,IF(((1)*80+(MAX(0,B27-1))*200)&lt;=10000,60,110)))-10)*500,2)+ROUND((MAX(0,((1)*0.166864+(MAX(0,B27-1))*0.41716+(0)*1.0429000000000002+(0)*2.0858000000000003)+20*2*2*0.0035+30*(1/3600*0.128+5/3600*0.0106)-20)+IF(AND(((1)*55680.0+(MAX(0,B27-1))*139200.0+(0)*348000.0+(0)*696000.0)&lt;=1000000,((1)*1.536+(MAX(0,B27-1))*3.84+(0)*9.6+(0)*19.2)&lt;=1000),0,IF(((1)*55680.0+(MAX(0,B27-1))*139200.0+(0)*348000.0+(0)*696000.0)&lt;=10000000,20,IF(((1)*55680.0+(MAX(0,B27-1))*139200.0+(0)*348000.0+(0)*696000.0)&lt;=50000000,100,300)))+MAX(0,ROUNDUP(((1)*80+(MAX(0,B27-1))*200+(0)*500+(0)*1000)/5000,0)-1)*25+IF(((1)*80+(MAX(0,B27-1))*200+(0)*500+(0)*1000)&gt;5000,32-10,0))*500,2)),2)</f>
        <v>39234.84</v>
      </c>
      <c r="E27" s="7">
        <f>$D$9</f>
        <v>91125.0</v>
      </c>
      <c r="F27" s="7">
        <f>D27+E27</f>
        <v>130359.84</v>
      </c>
      <c r="G27" s="7">
        <f>C27-F27</f>
        <v>109640.16</v>
      </c>
      <c r="H27" s="5" t="str">
        <f>IF(G27&lt;0,"Pérdida",IF(G27=0,"Equilibrio","Ganancia"))</f>
        <v>Ganancia</v>
      </c>
    </row>
    <row r="28">
      <c r="B28" s="9" t="n">
        <v>11</v>
      </c>
      <c r="C28" s="10">
        <f>15000+MAX(0,B28-1)*25000</f>
        <v>265000.0</v>
      </c>
      <c r="D28" s="10">
        <f>ROUND(B28*'Egresos e Inversión'!$D$27+(ROUND((((80*2+20)*0.16/1000+(80*2+20)*32/1000000*0.12)*500),2)+80*2*(4000*0.4+300*1.6)/1000000*500+MAX(0,B28-1)*(ROUND((((200*2+20)*0.16/1000+(200*2+20)*32/1000000*0.12)*500),2)+200*2*(4000*0.4+300*1.6)/1000000*500))+B28*'Egresos e Inversión'!$D$29+(ROUND((MAX(0,((1)*1+(MAX(0,B28-1))*3+(0)*8+(0)*16)-100)*0.0213+MAX(0,((1)*1.056+(MAX(0,B28-1))*2.6399999999999997+(0)*6.6+(0)*13.2)-250)*0.09+(MAX(0,ROUNDUP((((1)*0.06+(MAX(0,B28-1))*0.15)+((0)*0.375+(0)*0.75)*0.05)*2,0)-8)+((1)*0+(MAX(0,B28-1))*0+(0)*0+(0)*0))*0.125+IF(((1)*80+(MAX(0,B28-1))*200)&lt;=2000,10,IF(((1)*80+(MAX(0,B28-1))*200)&lt;=5000,15,IF(((1)*80+(MAX(0,B28-1))*200)&lt;=10000,60,110)))-10)*500,2)+ROUND((MAX(0,((1)*0.166864+(MAX(0,B28-1))*0.41716+(0)*1.0429000000000002+(0)*2.0858000000000003)+20*2*2*0.0035+30*(1/3600*0.128+5/3600*0.0106)-20)+IF(AND(((1)*55680.0+(MAX(0,B28-1))*139200.0+(0)*348000.0+(0)*696000.0)&lt;=1000000,((1)*1.536+(MAX(0,B28-1))*3.84+(0)*9.6+(0)*19.2)&lt;=1000),0,IF(((1)*55680.0+(MAX(0,B28-1))*139200.0+(0)*348000.0+(0)*696000.0)&lt;=10000000,20,IF(((1)*55680.0+(MAX(0,B28-1))*139200.0+(0)*348000.0+(0)*696000.0)&lt;=50000000,100,300)))+MAX(0,ROUNDUP(((1)*80+(MAX(0,B28-1))*200+(0)*500+(0)*1000)/5000,0)-1)*25+IF(((1)*80+(MAX(0,B28-1))*200+(0)*500+(0)*1000)&gt;5000,32-10,0))*500,2)),2)</f>
        <v>44685.25</v>
      </c>
      <c r="E28" s="10">
        <f>$D$9</f>
        <v>91125.0</v>
      </c>
      <c r="F28" s="10">
        <f>D28+E28</f>
        <v>135810.25</v>
      </c>
      <c r="G28" s="10">
        <f>C28-F28</f>
        <v>129189.75</v>
      </c>
      <c r="H28" s="8" t="str">
        <f>IF(G28&lt;0,"Pérdida",IF(G28=0,"Equilibrio","Ganancia"))</f>
        <v>Ganancia</v>
      </c>
    </row>
    <row r="29">
      <c r="B29" s="6" t="n">
        <v>12</v>
      </c>
      <c r="C29" s="7">
        <f>15000+MAX(0,B29-1)*25000</f>
        <v>290000.0</v>
      </c>
      <c r="D29" s="7">
        <f>ROUND(B29*'Egresos e Inversión'!$D$27+(ROUND((((80*2+20)*0.16/1000+(80*2+20)*32/1000000*0.12)*500),2)+80*2*(4000*0.4+300*1.6)/1000000*500+MAX(0,B29-1)*(ROUND((((200*2+20)*0.16/1000+(200*2+20)*32/1000000*0.12)*500),2)+200*2*(4000*0.4+300*1.6)/1000000*500))+B29*'Egresos e Inversión'!$D$29+(ROUND((MAX(0,((1)*1+(MAX(0,B29-1))*3+(0)*8+(0)*16)-100)*0.0213+MAX(0,((1)*1.056+(MAX(0,B29-1))*2.6399999999999997+(0)*6.6+(0)*13.2)-250)*0.09+(MAX(0,ROUNDUP((((1)*0.06+(MAX(0,B29-1))*0.15)+((0)*0.375+(0)*0.75)*0.05)*2,0)-8)+((1)*0+(MAX(0,B29-1))*0+(0)*0+(0)*0))*0.125+IF(((1)*80+(MAX(0,B29-1))*200)&lt;=2000,10,IF(((1)*80+(MAX(0,B29-1))*200)&lt;=5000,15,IF(((1)*80+(MAX(0,B29-1))*200)&lt;=10000,60,110)))-10)*500,2)+ROUND((MAX(0,((1)*0.166864+(MAX(0,B29-1))*0.41716+(0)*1.0429000000000002+(0)*2.0858000000000003)+20*2*2*0.0035+30*(1/3600*0.128+5/3600*0.0106)-20)+IF(AND(((1)*55680.0+(MAX(0,B29-1))*139200.0+(0)*348000.0+(0)*696000.0)&lt;=1000000,((1)*1.536+(MAX(0,B29-1))*3.84+(0)*9.6+(0)*19.2)&lt;=1000),0,IF(((1)*55680.0+(MAX(0,B29-1))*139200.0+(0)*348000.0+(0)*696000.0)&lt;=10000000,20,IF(((1)*55680.0+(MAX(0,B29-1))*139200.0+(0)*348000.0+(0)*696000.0)&lt;=50000000,100,300)))+MAX(0,ROUNDUP(((1)*80+(MAX(0,B29-1))*200+(0)*500+(0)*1000)/5000,0)-1)*25+IF(((1)*80+(MAX(0,B29-1))*200+(0)*500+(0)*1000)&gt;5000,32-10,0))*500,2)),2)</f>
        <v>47635.66</v>
      </c>
      <c r="E29" s="7">
        <f>$D$9</f>
        <v>91125.0</v>
      </c>
      <c r="F29" s="7">
        <f>D29+E29</f>
        <v>138760.66</v>
      </c>
      <c r="G29" s="7">
        <f>C29-F29</f>
        <v>151239.34</v>
      </c>
      <c r="H29" s="5" t="str">
        <f>IF(G29&lt;0,"Pérdida",IF(G29=0,"Equilibrio","Ganancia"))</f>
        <v>Ganancia</v>
      </c>
    </row>
    <row r="30">
      <c r="B30" s="9" t="n">
        <v>13</v>
      </c>
      <c r="C30" s="10">
        <f>15000+MAX(0,B30-1)*25000</f>
        <v>315000.0</v>
      </c>
      <c r="D30" s="10">
        <f>ROUND(B30*'Egresos e Inversión'!$D$27+(ROUND((((80*2+20)*0.16/1000+(80*2+20)*32/1000000*0.12)*500),2)+80*2*(4000*0.4+300*1.6)/1000000*500+MAX(0,B30-1)*(ROUND((((200*2+20)*0.16/1000+(200*2+20)*32/1000000*0.12)*500),2)+200*2*(4000*0.4+300*1.6)/1000000*500))+B30*'Egresos e Inversión'!$D$29+(ROUND((MAX(0,((1)*1+(MAX(0,B30-1))*3+(0)*8+(0)*16)-100)*0.0213+MAX(0,((1)*1.056+(MAX(0,B30-1))*2.6399999999999997+(0)*6.6+(0)*13.2)-250)*0.09+(MAX(0,ROUNDUP((((1)*0.06+(MAX(0,B30-1))*0.15)+((0)*0.375+(0)*0.75)*0.05)*2,0)-8)+((1)*0+(MAX(0,B30-1))*0+(0)*0+(0)*0))*0.125+IF(((1)*80+(MAX(0,B30-1))*200)&lt;=2000,10,IF(((1)*80+(MAX(0,B30-1))*200)&lt;=5000,15,IF(((1)*80+(MAX(0,B30-1))*200)&lt;=10000,60,110)))-10)*500,2)+ROUND((MAX(0,((1)*0.166864+(MAX(0,B30-1))*0.41716+(0)*1.0429000000000002+(0)*2.0858000000000003)+20*2*2*0.0035+30*(1/3600*0.128+5/3600*0.0106)-20)+IF(AND(((1)*55680.0+(MAX(0,B30-1))*139200.0+(0)*348000.0+(0)*696000.0)&lt;=1000000,((1)*1.536+(MAX(0,B30-1))*3.84+(0)*9.6+(0)*19.2)&lt;=1000),0,IF(((1)*55680.0+(MAX(0,B30-1))*139200.0+(0)*348000.0+(0)*696000.0)&lt;=10000000,20,IF(((1)*55680.0+(MAX(0,B30-1))*139200.0+(0)*348000.0+(0)*696000.0)&lt;=50000000,100,300)))+MAX(0,ROUNDUP(((1)*80+(MAX(0,B30-1))*200+(0)*500+(0)*1000)/5000,0)-1)*25+IF(((1)*80+(MAX(0,B30-1))*200+(0)*500+(0)*1000)&gt;5000,32-10,0))*500,2)),2)</f>
        <v>50586.07</v>
      </c>
      <c r="E30" s="10">
        <f>$D$9</f>
        <v>91125.0</v>
      </c>
      <c r="F30" s="10">
        <f>D30+E30</f>
        <v>141711.07</v>
      </c>
      <c r="G30" s="10">
        <f>C30-F30</f>
        <v>173288.93</v>
      </c>
      <c r="H30" s="8" t="str">
        <f>IF(G30&lt;0,"Pérdida",IF(G30=0,"Equilibrio","Ganancia"))</f>
        <v>Ganancia</v>
      </c>
    </row>
    <row r="31">
      <c r="B31" s="6" t="n">
        <v>14</v>
      </c>
      <c r="C31" s="7">
        <f>15000+MAX(0,B31-1)*25000</f>
        <v>340000.0</v>
      </c>
      <c r="D31" s="7">
        <f>ROUND(B31*'Egresos e Inversión'!$D$27+(ROUND((((80*2+20)*0.16/1000+(80*2+20)*32/1000000*0.12)*500),2)+80*2*(4000*0.4+300*1.6)/1000000*500+MAX(0,B31-1)*(ROUND((((200*2+20)*0.16/1000+(200*2+20)*32/1000000*0.12)*500),2)+200*2*(4000*0.4+300*1.6)/1000000*500))+B31*'Egresos e Inversión'!$D$29+(ROUND((MAX(0,((1)*1+(MAX(0,B31-1))*3+(0)*8+(0)*16)-100)*0.0213+MAX(0,((1)*1.056+(MAX(0,B31-1))*2.6399999999999997+(0)*6.6+(0)*13.2)-250)*0.09+(MAX(0,ROUNDUP((((1)*0.06+(MAX(0,B31-1))*0.15)+((0)*0.375+(0)*0.75)*0.05)*2,0)-8)+((1)*0+(MAX(0,B31-1))*0+(0)*0+(0)*0))*0.125+IF(((1)*80+(MAX(0,B31-1))*200)&lt;=2000,10,IF(((1)*80+(MAX(0,B31-1))*200)&lt;=5000,15,IF(((1)*80+(MAX(0,B31-1))*200)&lt;=10000,60,110)))-10)*500,2)+ROUND((MAX(0,((1)*0.166864+(MAX(0,B31-1))*0.41716+(0)*1.0429000000000002+(0)*2.0858000000000003)+20*2*2*0.0035+30*(1/3600*0.128+5/3600*0.0106)-20)+IF(AND(((1)*55680.0+(MAX(0,B31-1))*139200.0+(0)*348000.0+(0)*696000.0)&lt;=1000000,((1)*1.536+(MAX(0,B31-1))*3.84+(0)*9.6+(0)*19.2)&lt;=1000),0,IF(((1)*55680.0+(MAX(0,B31-1))*139200.0+(0)*348000.0+(0)*696000.0)&lt;=10000000,20,IF(((1)*55680.0+(MAX(0,B31-1))*139200.0+(0)*348000.0+(0)*696000.0)&lt;=50000000,100,300)))+MAX(0,ROUNDUP(((1)*80+(MAX(0,B31-1))*200+(0)*500+(0)*1000)/5000,0)-1)*25+IF(((1)*80+(MAX(0,B31-1))*200+(0)*500+(0)*1000)&gt;5000,32-10,0))*500,2)),2)</f>
        <v>53536.48</v>
      </c>
      <c r="E31" s="7">
        <f>$D$9</f>
        <v>91125.0</v>
      </c>
      <c r="F31" s="7">
        <f>D31+E31</f>
        <v>144661.48</v>
      </c>
      <c r="G31" s="7">
        <f>C31-F31</f>
        <v>195338.52</v>
      </c>
      <c r="H31" s="5" t="str">
        <f>IF(G31&lt;0,"Pérdida",IF(G31=0,"Equilibrio","Ganancia"))</f>
        <v>Ganancia</v>
      </c>
    </row>
    <row r="32">
      <c r="B32" s="9" t="n">
        <v>15</v>
      </c>
      <c r="C32" s="10">
        <f>15000+MAX(0,B32-1)*25000</f>
        <v>365000.0</v>
      </c>
      <c r="D32" s="10">
        <f>ROUND(B32*'Egresos e Inversión'!$D$27+(ROUND((((80*2+20)*0.16/1000+(80*2+20)*32/1000000*0.12)*500),2)+80*2*(4000*0.4+300*1.6)/1000000*500+MAX(0,B32-1)*(ROUND((((200*2+20)*0.16/1000+(200*2+20)*32/1000000*0.12)*500),2)+200*2*(4000*0.4+300*1.6)/1000000*500))+B32*'Egresos e Inversión'!$D$29+(ROUND((MAX(0,((1)*1+(MAX(0,B32-1))*3+(0)*8+(0)*16)-100)*0.0213+MAX(0,((1)*1.056+(MAX(0,B32-1))*2.6399999999999997+(0)*6.6+(0)*13.2)-250)*0.09+(MAX(0,ROUNDUP((((1)*0.06+(MAX(0,B32-1))*0.15)+((0)*0.375+(0)*0.75)*0.05)*2,0)-8)+((1)*0+(MAX(0,B32-1))*0+(0)*0+(0)*0))*0.125+IF(((1)*80+(MAX(0,B32-1))*200)&lt;=2000,10,IF(((1)*80+(MAX(0,B32-1))*200)&lt;=5000,15,IF(((1)*80+(MAX(0,B32-1))*200)&lt;=10000,60,110)))-10)*500,2)+ROUND((MAX(0,((1)*0.166864+(MAX(0,B32-1))*0.41716+(0)*1.0429000000000002+(0)*2.0858000000000003)+20*2*2*0.0035+30*(1/3600*0.128+5/3600*0.0106)-20)+IF(AND(((1)*55680.0+(MAX(0,B32-1))*139200.0+(0)*348000.0+(0)*696000.0)&lt;=1000000,((1)*1.536+(MAX(0,B32-1))*3.84+(0)*9.6+(0)*19.2)&lt;=1000),0,IF(((1)*55680.0+(MAX(0,B32-1))*139200.0+(0)*348000.0+(0)*696000.0)&lt;=10000000,20,IF(((1)*55680.0+(MAX(0,B32-1))*139200.0+(0)*348000.0+(0)*696000.0)&lt;=50000000,100,300)))+MAX(0,ROUNDUP(((1)*80+(MAX(0,B32-1))*200+(0)*500+(0)*1000)/5000,0)-1)*25+IF(((1)*80+(MAX(0,B32-1))*200+(0)*500+(0)*1000)&gt;5000,32-10,0))*500,2)),2)</f>
        <v>56486.89</v>
      </c>
      <c r="E32" s="10">
        <f>$D$9</f>
        <v>91125.0</v>
      </c>
      <c r="F32" s="10">
        <f>D32+E32</f>
        <v>147611.89</v>
      </c>
      <c r="G32" s="10">
        <f>C32-F32</f>
        <v>217388.11</v>
      </c>
      <c r="H32" s="8" t="str">
        <f>IF(G32&lt;0,"Pérdida",IF(G32=0,"Equilibrio","Ganancia"))</f>
        <v>Ganancia</v>
      </c>
    </row>
  </sheetData>
  <mergeCells count="7">
    <mergeCell ref="B13:C13"/>
    <mergeCell ref="B6:C6"/>
    <mergeCell ref="B7:C7"/>
    <mergeCell ref="B14:C14"/>
    <mergeCell ref="B9:C9"/>
    <mergeCell ref="B8:C8"/>
    <mergeCell ref="B12:C12"/>
  </mergeCells>
  <pageMargins left="0.75" right="0.75" top="1" bottom="1" header="0.5" footer="0.5"/>
  <legacyDrawing r:id="anysvml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O41"/>
  <sheetViews>
    <sheetView tabSelected="1" topLeftCell="A22" workbookViewId="0">
      <selection activeCell="D48" sqref="D48"/>
    </sheetView>
  </sheetViews>
  <sheetFormatPr baseColWidth="10" defaultColWidth="8.88671875" defaultRowHeight="14.4"/>
  <cols>
    <col width="12" customWidth="1" min="1" max="1"/>
    <col width="38" customWidth="1" min="2" max="2"/>
    <col width="18" customWidth="1" min="3" max="4"/>
    <col width="30.33203125" customWidth="1" min="5" max="5"/>
    <col width="25.6640625" customWidth="1" min="6" max="6"/>
    <col width="18" customWidth="1" min="7" max="15"/>
  </cols>
  <sheetData>
    <row r="2" ht="21" customHeight="1">
      <c r="B2" s="1" t="inlineStr">
        <is>
          <t>ESTADOS FINANCIEROS PROYECTADOS (AÑO 1)</t>
        </is>
      </c>
    </row>
    <row r="3">
      <c r="B3" s="2" t="inlineStr">
        <is>
          <t>Proyección económica antes de impuestos: todo el trabajo se supone pagado; no es un estado fiscal.</t>
        </is>
      </c>
    </row>
    <row r="5" ht="17.4" customHeight="1">
      <c r="B5" s="3" t="inlineStr">
        <is>
          <t>1. FLUJO PROYECTADO (TRABAJO TÉCNICO PAGADO)</t>
        </is>
      </c>
    </row>
    <row r="6">
      <c r="B6" s="4" t="inlineStr">
        <is>
          <t>Concepto / Mes</t>
        </is>
      </c>
      <c r="C6" s="4" t="inlineStr">
        <is>
          <t>Mes 1</t>
        </is>
      </c>
      <c r="D6" s="4" t="inlineStr">
        <is>
          <t>Mes 2</t>
        </is>
      </c>
      <c r="E6" s="4" t="inlineStr">
        <is>
          <t>Mes 3</t>
        </is>
      </c>
      <c r="F6" s="4" t="inlineStr">
        <is>
          <t>Mes 4</t>
        </is>
      </c>
      <c r="G6" s="4" t="inlineStr">
        <is>
          <t>Mes 5</t>
        </is>
      </c>
      <c r="H6" s="4" t="inlineStr">
        <is>
          <t>Mes 6</t>
        </is>
      </c>
      <c r="I6" s="4" t="inlineStr">
        <is>
          <t>Mes 7</t>
        </is>
      </c>
      <c r="J6" s="4" t="inlineStr">
        <is>
          <t>Mes 8</t>
        </is>
      </c>
      <c r="K6" s="4" t="inlineStr">
        <is>
          <t>Mes 9</t>
        </is>
      </c>
      <c r="L6" s="4" t="inlineStr">
        <is>
          <t>Mes 10</t>
        </is>
      </c>
      <c r="M6" s="4" t="inlineStr">
        <is>
          <t>Mes 11</t>
        </is>
      </c>
      <c r="N6" s="4" t="inlineStr">
        <is>
          <t>Mes 12</t>
        </is>
      </c>
      <c r="O6" s="4" t="inlineStr">
        <is>
          <t>Total Año 1</t>
        </is>
      </c>
    </row>
    <row r="7">
      <c r="B7" s="27" t="inlineStr">
        <is>
          <t>ENTRADAS DE EFECTIVO</t>
        </is>
      </c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>
      <c r="B8" s="50" t="inlineStr">
        <is>
          <t xml:space="preserve">  Ingresos por Suscripciones (MRR)</t>
        </is>
      </c>
      <c r="C8" s="7">
        <f>'Clientes e Ingresos'!H6</f>
        <v>115000.0</v>
      </c>
      <c r="D8" s="7">
        <f>'Clientes e Ingresos'!H7</f>
        <v>140000.0</v>
      </c>
      <c r="E8" s="7">
        <f>'Clientes e Ingresos'!H8</f>
        <v>165000.0</v>
      </c>
      <c r="F8" s="7">
        <f>'Clientes e Ingresos'!H9</f>
        <v>190000.0</v>
      </c>
      <c r="G8" s="7">
        <f>'Clientes e Ingresos'!H10</f>
        <v>215000.0</v>
      </c>
      <c r="H8" s="7">
        <f>'Clientes e Ingresos'!H11</f>
        <v>215000.0</v>
      </c>
      <c r="I8" s="7">
        <f>'Clientes e Ingresos'!H12</f>
        <v>240000.0</v>
      </c>
      <c r="J8" s="7">
        <f>'Clientes e Ingresos'!H13</f>
        <v>265000.0</v>
      </c>
      <c r="K8" s="7">
        <f>'Clientes e Ingresos'!H14</f>
        <v>290000.0</v>
      </c>
      <c r="L8" s="7">
        <f>'Clientes e Ingresos'!H15</f>
        <v>290000.0</v>
      </c>
      <c r="M8" s="7">
        <f>'Clientes e Ingresos'!H16</f>
        <v>315000.0</v>
      </c>
      <c r="N8" s="7">
        <f>'Clientes e Ingresos'!H17</f>
        <v>340000.0</v>
      </c>
      <c r="O8" s="20">
        <f>SUM(C8:N8)</f>
        <v>2780000.0</v>
      </c>
    </row>
    <row r="9">
      <c r="B9" s="50" t="inlineStr">
        <is>
          <t xml:space="preserve">  Aporte de Capital Inicial / Socio</t>
        </is>
      </c>
      <c r="C9" s="7">
        <f>MAX(0,(SUM($C$15:C15)-SUM($C$8:C8)),(SUM($C$15:D15)-SUM($C$8:D8)),(SUM($C$15:E15)-SUM($C$8:E8)),(SUM($C$15:F15)-SUM($C$8:F8)),(SUM($C$15:G15)-SUM($C$8:G8)),(SUM($C$15:H15)-SUM($C$8:H8)),(SUM($C$15:I15)-SUM($C$8:I8)),(SUM($C$15:J15)-SUM($C$8:J8)),(SUM($C$15:K15)-SUM($C$8:K8)),(SUM($C$15:L15)-SUM($C$8:L8)),(SUM($C$15:M15)-SUM($C$8:M8)),(SUM($C$15:N15)-SUM($C$8:N8)))</f>
        <v>679165.99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20">
        <f>SUM(C9:N9)</f>
        <v>679165.99</v>
      </c>
    </row>
    <row r="10">
      <c r="B10" s="30" t="inlineStr">
        <is>
          <t>TOTAL ENTRADAS</t>
        </is>
      </c>
      <c r="C10" s="20">
        <f>SUM(C8:C9)</f>
        <v>794165.99</v>
      </c>
      <c r="D10" s="20">
        <f>SUM(D8:D9)</f>
        <v>140000.0</v>
      </c>
      <c r="E10" s="20">
        <f>SUM(E8:E9)</f>
        <v>165000.0</v>
      </c>
      <c r="F10" s="20">
        <f>SUM(F8:F9)</f>
        <v>190000.0</v>
      </c>
      <c r="G10" s="20">
        <f>SUM(G8:G9)</f>
        <v>215000.0</v>
      </c>
      <c r="H10" s="20">
        <f>SUM(H8:H9)</f>
        <v>215000.0</v>
      </c>
      <c r="I10" s="20">
        <f>SUM(I8:I9)</f>
        <v>240000.0</v>
      </c>
      <c r="J10" s="20">
        <f>SUM(J8:J9)</f>
        <v>265000.0</v>
      </c>
      <c r="K10" s="20">
        <f>SUM(K8:K9)</f>
        <v>290000.0</v>
      </c>
      <c r="L10" s="20">
        <f>SUM(L8:L9)</f>
        <v>290000.0</v>
      </c>
      <c r="M10" s="20">
        <f>SUM(M8:M9)</f>
        <v>315000.0</v>
      </c>
      <c r="N10" s="20">
        <f>SUM(N8:N9)</f>
        <v>340000.0</v>
      </c>
      <c r="O10" s="20">
        <f>SUM(C10:N10)</f>
        <v>3459165.99</v>
      </c>
    </row>
    <row r="11">
      <c r="B11" s="27" t="inlineStr">
        <is>
          <t>SALIDAS DE EFECTIVO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</row>
    <row r="12">
      <c r="B12" s="50" t="inlineStr">
        <is>
          <t xml:space="preserve">  Desarrollo inicial (gasto único)</t>
        </is>
      </c>
      <c r="C12" s="7">
        <f>'Egresos e Inversión'!D12</f>
        <v>480000.0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20">
        <f>SUM(C12:N12)</f>
        <v>480000.0</v>
      </c>
    </row>
    <row r="13">
      <c r="B13" s="50" t="inlineStr">
        <is>
          <t xml:space="preserve">  Gastos Fijos Operativos (OPEX)</t>
        </is>
      </c>
      <c r="C13" s="7">
        <f>'Egresos e Inversión'!D35</f>
        <v>91125.0</v>
      </c>
      <c r="D13" s="7">
        <f>'Egresos e Inversión'!D36</f>
        <v>91125.0</v>
      </c>
      <c r="E13" s="7">
        <f>'Egresos e Inversión'!D37</f>
        <v>91125.0</v>
      </c>
      <c r="F13" s="7">
        <f>'Egresos e Inversión'!D38</f>
        <v>91125.0</v>
      </c>
      <c r="G13" s="7">
        <f>'Egresos e Inversión'!D39</f>
        <v>91125.0</v>
      </c>
      <c r="H13" s="7">
        <f>'Egresos e Inversión'!D40</f>
        <v>91125.0</v>
      </c>
      <c r="I13" s="7">
        <f>'Egresos e Inversión'!D41</f>
        <v>91125.0</v>
      </c>
      <c r="J13" s="7">
        <f>'Egresos e Inversión'!D42</f>
        <v>91125.0</v>
      </c>
      <c r="K13" s="7">
        <f>'Egresos e Inversión'!D43</f>
        <v>91125.0</v>
      </c>
      <c r="L13" s="7">
        <f>'Egresos e Inversión'!D44</f>
        <v>91125.0</v>
      </c>
      <c r="M13" s="7">
        <f>'Egresos e Inversión'!D45</f>
        <v>91125.0</v>
      </c>
      <c r="N13" s="7">
        <f>'Egresos e Inversión'!D46</f>
        <v>91125.0</v>
      </c>
      <c r="O13" s="20">
        <f>SUM(C13:N13)</f>
        <v>1093500.0</v>
      </c>
    </row>
    <row r="14">
      <c r="B14" s="50" t="inlineStr">
        <is>
          <t xml:space="preserve">  Variables, instalaciones y nube</t>
        </is>
      </c>
      <c r="C14" s="7">
        <f>'Egresos e Inversión'!E35</f>
        <v>214482.79</v>
      </c>
      <c r="D14" s="7">
        <f>'Egresos e Inversión'!E36</f>
        <v>57433.2</v>
      </c>
      <c r="E14" s="7">
        <f>'Egresos e Inversión'!E37</f>
        <v>60383.61</v>
      </c>
      <c r="F14" s="7">
        <f>'Egresos e Inversión'!E38</f>
        <v>73334.02</v>
      </c>
      <c r="G14" s="7">
        <f>'Egresos e Inversión'!E39</f>
        <v>76284.43</v>
      </c>
      <c r="H14" s="7">
        <f>'Egresos e Inversión'!E40</f>
        <v>76284.43</v>
      </c>
      <c r="I14" s="7">
        <f>'Egresos e Inversión'!E41</f>
        <v>79234.84</v>
      </c>
      <c r="J14" s="7">
        <f>'Egresos e Inversión'!E42</f>
        <v>84685.25</v>
      </c>
      <c r="K14" s="7">
        <f>'Egresos e Inversión'!E43</f>
        <v>87635.66</v>
      </c>
      <c r="L14" s="7">
        <f>'Egresos e Inversión'!E44</f>
        <v>87635.66</v>
      </c>
      <c r="M14" s="7">
        <f>'Egresos e Inversión'!E45</f>
        <v>90586.07</v>
      </c>
      <c r="N14" s="7">
        <f>'Egresos e Inversión'!E46</f>
        <v>93536.48</v>
      </c>
      <c r="O14" s="20">
        <f>SUM(C14:N14)</f>
        <v>1081516.44</v>
      </c>
    </row>
    <row r="15">
      <c r="B15" s="30" t="inlineStr">
        <is>
          <t>TOTAL SALIDAS</t>
        </is>
      </c>
      <c r="C15" s="20">
        <f>SUM(C12:C14)</f>
        <v>785607.79</v>
      </c>
      <c r="D15" s="20">
        <f>SUM(D12:D14)</f>
        <v>148558.2</v>
      </c>
      <c r="E15" s="20">
        <f>SUM(E12:E14)</f>
        <v>151508.61</v>
      </c>
      <c r="F15" s="20">
        <f>SUM(F12:F14)</f>
        <v>164459.02000000002</v>
      </c>
      <c r="G15" s="20">
        <f>SUM(G12:G14)</f>
        <v>167409.43</v>
      </c>
      <c r="H15" s="20">
        <f>SUM(H12:H14)</f>
        <v>167409.43</v>
      </c>
      <c r="I15" s="20">
        <f>SUM(I12:I14)</f>
        <v>170359.84</v>
      </c>
      <c r="J15" s="20">
        <f>SUM(J12:J14)</f>
        <v>175810.25</v>
      </c>
      <c r="K15" s="20">
        <f>SUM(K12:K14)</f>
        <v>178760.66</v>
      </c>
      <c r="L15" s="20">
        <f>SUM(L12:L14)</f>
        <v>178760.66</v>
      </c>
      <c r="M15" s="20">
        <f>SUM(M12:M14)</f>
        <v>181711.07</v>
      </c>
      <c r="N15" s="20">
        <f>SUM(N12:N14)</f>
        <v>184661.47999999998</v>
      </c>
      <c r="O15" s="20">
        <f>SUM(C15:N15)</f>
        <v>2655016.44</v>
      </c>
    </row>
    <row r="16">
      <c r="B16" s="30" t="inlineStr">
        <is>
          <t>FLUJO NETO DE CAJA MENSUAL</t>
        </is>
      </c>
      <c r="C16" s="20">
        <f>C10-C15</f>
        <v>8558.199999999953</v>
      </c>
      <c r="D16" s="20">
        <f>D10-D15</f>
        <v>-8558.200000000012</v>
      </c>
      <c r="E16" s="20">
        <f>E10-E15</f>
        <v>13491.390000000014</v>
      </c>
      <c r="F16" s="20">
        <f>F10-F15</f>
        <v>25540.97999999998</v>
      </c>
      <c r="G16" s="20">
        <f>G10-G15</f>
        <v>47590.57000000001</v>
      </c>
      <c r="H16" s="20">
        <f>H10-H15</f>
        <v>47590.57000000001</v>
      </c>
      <c r="I16" s="20">
        <f>I10-I15</f>
        <v>69640.16</v>
      </c>
      <c r="J16" s="20">
        <f>J10-J15</f>
        <v>89189.75</v>
      </c>
      <c r="K16" s="20">
        <f>K10-K15</f>
        <v>111239.34</v>
      </c>
      <c r="L16" s="20">
        <f>L10-L15</f>
        <v>111239.34</v>
      </c>
      <c r="M16" s="20">
        <f>M10-M15</f>
        <v>133288.93</v>
      </c>
      <c r="N16" s="20">
        <f>N10-N15</f>
        <v>155338.52000000002</v>
      </c>
      <c r="O16" s="20">
        <f>SUM(C16:N16)</f>
        <v>804149.5499999998</v>
      </c>
    </row>
    <row r="17">
      <c r="B17" s="30" t="inlineStr">
        <is>
          <t>SALDO DE CAJA ACUMULADO</t>
        </is>
      </c>
      <c r="C17" s="31">
        <f>C16</f>
        <v>8558.199999999953</v>
      </c>
      <c r="D17" s="31">
        <f>C17+D16</f>
        <v>-5.820766091346741e-11</v>
      </c>
      <c r="E17" s="31">
        <f>D17+E16</f>
        <v>13491.389999999956</v>
      </c>
      <c r="F17" s="31">
        <f>E17+F16</f>
        <v>39032.36999999994</v>
      </c>
      <c r="G17" s="31">
        <f>F17+G16</f>
        <v>86622.93999999994</v>
      </c>
      <c r="H17" s="31">
        <f>G17+H16</f>
        <v>134213.50999999995</v>
      </c>
      <c r="I17" s="31">
        <f>H17+I16</f>
        <v>203853.66999999995</v>
      </c>
      <c r="J17" s="31">
        <f>I17+J16</f>
        <v>293043.4199999999</v>
      </c>
      <c r="K17" s="31">
        <f>J17+K16</f>
        <v>404282.7599999999</v>
      </c>
      <c r="L17" s="31">
        <f>K17+L16</f>
        <v>515522.09999999986</v>
      </c>
      <c r="M17" s="31">
        <f>L17+M16</f>
        <v>648811.0299999998</v>
      </c>
      <c r="N17" s="31">
        <f>M17+N16</f>
        <v>804149.5499999998</v>
      </c>
      <c r="O17" s="20">
        <f>N17</f>
        <v>804149.5499999998</v>
      </c>
    </row>
    <row r="20" ht="17.4" customHeight="1">
      <c r="B20" s="3" t="inlineStr">
        <is>
          <t>2. ESTADO DE GANANCIAS Y PÉRDIDAS PROYECTADO (AÑO 1)</t>
        </is>
      </c>
    </row>
    <row r="21">
      <c r="B21" s="16" t="inlineStr">
        <is>
          <t>Estructura del Estado de Resultados</t>
        </is>
      </c>
      <c r="C21" s="17" t="inlineStr">
        <is>
          <t>Monto Anual (₡)</t>
        </is>
      </c>
      <c r="D21" s="17" t="inlineStr">
        <is>
          <t>% sobre Ventas</t>
        </is>
      </c>
    </row>
    <row r="22">
      <c r="B22" s="49" t="inlineStr">
        <is>
          <t>Ingresos Operativos Totales (Ventas)</t>
        </is>
      </c>
      <c r="C22" s="7">
        <f>'Clientes e Ingresos'!H18</f>
        <v>2780000.0</v>
      </c>
      <c r="D22" s="32" t="n">
        <v>1</v>
      </c>
    </row>
    <row r="23">
      <c r="B23" s="33" t="inlineStr">
        <is>
          <t xml:space="preserve">(-) Costos Directos de Operación </t>
        </is>
      </c>
      <c r="C23" s="10">
        <f>'Egresos e Inversión'!E47</f>
        <v>1081516.44</v>
      </c>
      <c r="D23" s="34">
        <f>C23/C22</f>
        <v>0.389034690647482</v>
      </c>
    </row>
    <row r="24">
      <c r="B24" s="27" t="inlineStr">
        <is>
          <t>UTILIDAD BRUTA</t>
        </is>
      </c>
      <c r="C24" s="25">
        <f>C22-C23</f>
        <v>1698483.56</v>
      </c>
      <c r="D24" s="35">
        <f>C24/C22</f>
        <v>0.610965309352518</v>
      </c>
    </row>
    <row r="25">
      <c r="B25" s="52" t="inlineStr">
        <is>
          <t xml:space="preserve">(-) Gastos Operativos Fijos </t>
        </is>
      </c>
      <c r="C25" s="10">
        <f>'Egresos e Inversión'!D47</f>
        <v>1093500.0</v>
      </c>
      <c r="D25" s="34">
        <f>C25/C22</f>
        <v>0.39334532374100717</v>
      </c>
    </row>
    <row r="26">
      <c r="B26" s="49" t="inlineStr">
        <is>
          <t>RESULTADO ANTES DEL DESARROLLO</t>
        </is>
      </c>
      <c r="C26" s="7">
        <f>C24-C25</f>
        <v>604983.56</v>
      </c>
      <c r="D26" s="32">
        <f>C26/C22</f>
        <v>0.2176199856115108</v>
      </c>
    </row>
    <row r="27">
      <c r="B27" s="33" t="inlineStr">
        <is>
          <t>(-) Desarrollo inicial (gasto del año)</t>
        </is>
      </c>
      <c r="C27" s="10">
        <f>'Egresos e Inversión'!D12</f>
        <v>480000.0</v>
      </c>
      <c r="D27" s="34">
        <f>C27/C22</f>
        <v>0.17266187050359713</v>
      </c>
    </row>
    <row r="28">
      <c r="B28" s="27" t="inlineStr">
        <is>
          <t xml:space="preserve">UTILIDAD ANTES DE IMPUESTOS </t>
        </is>
      </c>
      <c r="C28" s="25">
        <f>C26-C27</f>
        <v>124983.56000000006</v>
      </c>
      <c r="D28" s="35">
        <f>C28/C22</f>
        <v>0.04495811510791369</v>
      </c>
    </row>
    <row r="29">
      <c r="B29" s="33" t="inlineStr">
        <is>
          <t>Impuestos: fuera de este análisis</t>
        </is>
      </c>
      <c r="C29" s="10" t="inlineStr">
        <is>
          <t>No calculado</t>
        </is>
      </c>
      <c r="D29" s="34" t="inlineStr">
        <is>
          <t>No aplica</t>
        </is>
      </c>
      <c r="E29" t="inlineStr">
        <is>
          <t>No se presupone exoneración MYPE. Resultado y balance se muestran antes de impuestos; no constituyen determinación tributaria.</t>
        </is>
      </c>
    </row>
    <row r="30">
      <c r="B30" s="36" t="inlineStr">
        <is>
          <t>RESULTADO ECONÓMICO ANTES DE IMPUESTOS</t>
        </is>
      </c>
      <c r="C30" s="37">
        <f>C28</f>
        <v>124983.56000000006</v>
      </c>
      <c r="D30" s="38">
        <f>C30/C22</f>
        <v>0.04495811510791369</v>
      </c>
    </row>
    <row r="32" ht="17.4" customHeight="1">
      <c r="B32" s="3" t="inlineStr">
        <is>
          <t>3. BALANCE ECONÓMICO SIMPLIFICADO (ANTES DE IMPUESTOS)</t>
        </is>
      </c>
    </row>
    <row r="33">
      <c r="B33" s="16" t="inlineStr">
        <is>
          <t>Cuenta Contable</t>
        </is>
      </c>
      <c r="C33" s="17" t="inlineStr">
        <is>
          <t>Monto al Cierre (₡)</t>
        </is>
      </c>
      <c r="E33" s="39" t="inlineStr">
        <is>
          <t>Cuenta Contable</t>
        </is>
      </c>
      <c r="F33" s="40" t="inlineStr">
        <is>
          <t>Monto al Cierre (₡)</t>
        </is>
      </c>
    </row>
    <row r="34">
      <c r="B34" s="41" t="inlineStr">
        <is>
          <t>ACTIVOS CORRIENTES</t>
        </is>
      </c>
      <c r="C34" s="42" t="n"/>
      <c r="E34" s="41" t="inlineStr">
        <is>
          <t>PASIVOS CORRIENTES</t>
        </is>
      </c>
      <c r="F34" s="42" t="n"/>
    </row>
    <row r="35">
      <c r="B35" s="49" t="inlineStr">
        <is>
          <t xml:space="preserve">  Efectivo y Bancos (Caja Final)</t>
        </is>
      </c>
      <c r="C35" s="7">
        <f>N17</f>
        <v>804149.5499999998</v>
      </c>
      <c r="E35" s="49" t="inlineStr">
        <is>
          <t xml:space="preserve">  Deuda financiera modelada</t>
        </is>
      </c>
      <c r="F35" s="7">
        <f>0</f>
        <v>0</v>
      </c>
    </row>
    <row r="36">
      <c r="B36" s="27" t="inlineStr">
        <is>
          <t>TOTAL ACTIVOS CORRIENTES</t>
        </is>
      </c>
      <c r="C36" s="25">
        <f>C35</f>
        <v>804149.5499999998</v>
      </c>
      <c r="E36" s="27" t="inlineStr">
        <is>
          <t>TOTAL PASIVOS CORRIENTES</t>
        </is>
      </c>
      <c r="F36" s="25">
        <f>F35</f>
        <v>0</v>
      </c>
    </row>
    <row r="37">
      <c r="B37" s="41" t="inlineStr">
        <is>
          <t>ACTIVOS NO CORRIENTES</t>
        </is>
      </c>
      <c r="C37" s="42" t="n"/>
      <c r="E37" s="41" t="inlineStr">
        <is>
          <t>PATRIMONIO</t>
        </is>
      </c>
      <c r="F37" s="42" t="n"/>
    </row>
    <row r="38">
      <c r="B38" s="49" t="inlineStr">
        <is>
          <t xml:space="preserve">  Desarrollo capitalizado (no aplicado)</t>
        </is>
      </c>
      <c r="C38" s="7">
        <f>0</f>
        <v>0</v>
      </c>
      <c r="E38" s="49" t="inlineStr">
        <is>
          <t xml:space="preserve">  Capital Social Aportado</t>
        </is>
      </c>
      <c r="F38" s="7">
        <f>C9</f>
        <v>679165.99</v>
      </c>
    </row>
    <row r="39">
      <c r="B39" s="49" t="inlineStr">
        <is>
          <t xml:space="preserve">  Amortización (no aplicada)</t>
        </is>
      </c>
      <c r="C39" s="7">
        <f>0</f>
        <v>0</v>
      </c>
      <c r="E39" s="49" t="inlineStr">
        <is>
          <t xml:space="preserve">  Utilidades Acumuladas del Ejercicio</t>
        </is>
      </c>
      <c r="F39" s="7">
        <f>C30</f>
        <v>124983.56000000006</v>
      </c>
    </row>
    <row r="40">
      <c r="B40" s="27" t="inlineStr">
        <is>
          <t>TOTAL ACTIVOS NO CORRIENTES</t>
        </is>
      </c>
      <c r="C40" s="25">
        <f>C38-C39</f>
        <v>0</v>
      </c>
      <c r="E40" s="27" t="inlineStr">
        <is>
          <t>TOTAL PATRIMONIO</t>
        </is>
      </c>
      <c r="F40" s="25">
        <f>F38+F39</f>
        <v>804149.55</v>
      </c>
    </row>
    <row r="41">
      <c r="B41" s="36" t="inlineStr">
        <is>
          <t>TOTAL ACTIVOS</t>
        </is>
      </c>
      <c r="C41" s="37">
        <f>C36+C40</f>
        <v>804149.5499999998</v>
      </c>
      <c r="E41" s="36" t="inlineStr">
        <is>
          <t>TOTAL PASIVO + PATRIMONIO</t>
        </is>
      </c>
      <c r="F41" s="37">
        <f>F36+F40</f>
        <v>804149.55</v>
      </c>
    </row>
  </sheetData>
  <pageMargins left="0.75" right="0.75" top="1" bottom="1" header="0.5" footer="0.5"/>
  <legacyDrawing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2026-09-02T16:52:47Z</dcterms:created>
  <dcterms:modified xsi:type="dcterms:W3CDTF">2026-09-12T01:08:37Z</dcterms:modified>
  <cp:lastModifiedBy>Carolina Varela</cp:lastModifiedBy>
</cp:coreProperties>
</file>