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proyectoappgym\docs\gymhub_expotecnica\modelo_negocios\"/>
    </mc:Choice>
  </mc:AlternateContent>
  <xr:revisionPtr revIDLastSave="0" documentId="8_{0C4147D2-00D1-46D9-9A82-6F1725279D7E}" xr6:coauthVersionLast="47" xr6:coauthVersionMax="47" xr10:uidLastSave="{00000000-0000-0000-0000-000000000000}"/>
  <bookViews>
    <workbookView xWindow="1920" yWindow="1920" windowWidth="11256" windowHeight="8880" xr2:uid="{00000000-000D-0000-FFFF-FFFF00000000}"/>
  </bookViews>
  <sheets>
    <sheet name="Resumen Ejecutivo" sheetId="1" r:id="rId1"/>
    <sheet name="Clientes e Ingresos" sheetId="2" r:id="rId2"/>
    <sheet name="Egresos e Inversión" sheetId="3" r:id="rId3"/>
    <sheet name="Punto de Equilibrio" sheetId="4" r:id="rId4"/>
    <sheet name="Estados Financieros" sheetId="5" r:id="rId5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4" l="1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D29" i="3"/>
  <c r="D27" i="3"/>
  <c r="D21" i="3"/>
  <c r="D20" i="3"/>
  <c r="D19" i="3"/>
  <c r="D18" i="3"/>
  <c r="D17" i="3"/>
  <c r="D11" i="3"/>
  <c r="D10" i="3"/>
  <c r="D9" i="3"/>
  <c r="D8" i="3"/>
  <c r="D7" i="3"/>
  <c r="E18" i="2"/>
  <c r="D18" i="2"/>
  <c r="C18" i="2"/>
  <c r="F6" i="2"/>
  <c r="D28" i="3" s="1"/>
  <c r="C39" i="5"/>
  <c r="C38" i="5"/>
  <c r="F35" i="5"/>
  <c r="F36" i="5" s="1"/>
  <c r="C29" i="5"/>
  <c r="C12" i="5"/>
  <c r="D22" i="3" l="1"/>
  <c r="D12" i="3"/>
  <c r="C27" i="5" s="1"/>
  <c r="C40" i="5"/>
  <c r="D29" i="4"/>
  <c r="D28" i="4"/>
  <c r="D27" i="4"/>
  <c r="D26" i="4"/>
  <c r="D18" i="4"/>
  <c r="D25" i="4"/>
  <c r="D24" i="4"/>
  <c r="D23" i="4"/>
  <c r="D22" i="4"/>
  <c r="D32" i="4"/>
  <c r="D21" i="4"/>
  <c r="D31" i="4"/>
  <c r="D20" i="4"/>
  <c r="D30" i="4"/>
  <c r="D19" i="4"/>
  <c r="D30" i="3"/>
  <c r="D7" i="4" s="1"/>
  <c r="D42" i="3"/>
  <c r="D43" i="3"/>
  <c r="D36" i="3"/>
  <c r="D37" i="3"/>
  <c r="D38" i="3"/>
  <c r="D40" i="3"/>
  <c r="D45" i="3"/>
  <c r="D46" i="3"/>
  <c r="D9" i="4"/>
  <c r="C35" i="3"/>
  <c r="E35" i="3" s="1"/>
  <c r="C7" i="2"/>
  <c r="F7" i="2" s="1"/>
  <c r="G6" i="2"/>
  <c r="O12" i="5"/>
  <c r="D39" i="3" l="1"/>
  <c r="D41" i="3"/>
  <c r="D35" i="3"/>
  <c r="D44" i="3"/>
  <c r="G13" i="5"/>
  <c r="I13" i="5"/>
  <c r="J13" i="5"/>
  <c r="K13" i="5"/>
  <c r="F35" i="3"/>
  <c r="D47" i="3"/>
  <c r="C25" i="5" s="1"/>
  <c r="C13" i="5"/>
  <c r="D13" i="5"/>
  <c r="E13" i="5"/>
  <c r="F13" i="5"/>
  <c r="H13" i="5"/>
  <c r="L13" i="5"/>
  <c r="M13" i="5"/>
  <c r="N13" i="5"/>
  <c r="D12" i="4"/>
  <c r="E18" i="4"/>
  <c r="F18" i="4" s="1"/>
  <c r="G18" i="4" s="1"/>
  <c r="E19" i="4"/>
  <c r="F19" i="4" s="1"/>
  <c r="G19" i="4" s="1"/>
  <c r="H19" i="4" s="1"/>
  <c r="E20" i="4"/>
  <c r="F20" i="4" s="1"/>
  <c r="G20" i="4" s="1"/>
  <c r="H20" i="4" s="1"/>
  <c r="E21" i="4"/>
  <c r="F21" i="4" s="1"/>
  <c r="G21" i="4" s="1"/>
  <c r="H21" i="4" s="1"/>
  <c r="E22" i="4"/>
  <c r="F22" i="4" s="1"/>
  <c r="G22" i="4" s="1"/>
  <c r="H22" i="4" s="1"/>
  <c r="E23" i="4"/>
  <c r="F23" i="4" s="1"/>
  <c r="G23" i="4" s="1"/>
  <c r="H23" i="4" s="1"/>
  <c r="E24" i="4"/>
  <c r="F24" i="4" s="1"/>
  <c r="G24" i="4" s="1"/>
  <c r="H24" i="4" s="1"/>
  <c r="E25" i="4"/>
  <c r="F25" i="4" s="1"/>
  <c r="G25" i="4" s="1"/>
  <c r="H25" i="4" s="1"/>
  <c r="E26" i="4"/>
  <c r="F26" i="4" s="1"/>
  <c r="G26" i="4" s="1"/>
  <c r="H26" i="4" s="1"/>
  <c r="E27" i="4"/>
  <c r="F27" i="4" s="1"/>
  <c r="G27" i="4" s="1"/>
  <c r="H27" i="4" s="1"/>
  <c r="E28" i="4"/>
  <c r="F28" i="4" s="1"/>
  <c r="G28" i="4" s="1"/>
  <c r="H28" i="4" s="1"/>
  <c r="E29" i="4"/>
  <c r="F29" i="4" s="1"/>
  <c r="G29" i="4" s="1"/>
  <c r="H29" i="4" s="1"/>
  <c r="E30" i="4"/>
  <c r="F30" i="4" s="1"/>
  <c r="G30" i="4" s="1"/>
  <c r="H30" i="4" s="1"/>
  <c r="E31" i="4"/>
  <c r="F31" i="4" s="1"/>
  <c r="G31" i="4" s="1"/>
  <c r="H31" i="4" s="1"/>
  <c r="E32" i="4"/>
  <c r="F32" i="4" s="1"/>
  <c r="G32" i="4" s="1"/>
  <c r="H32" i="4" s="1"/>
  <c r="C14" i="5"/>
  <c r="G7" i="2"/>
  <c r="H7" i="2"/>
  <c r="D8" i="5" s="1"/>
  <c r="D10" i="5" s="1"/>
  <c r="C8" i="2"/>
  <c r="F8" i="2" s="1"/>
  <c r="C36" i="3"/>
  <c r="E36" i="3" s="1"/>
  <c r="D6" i="4"/>
  <c r="D8" i="4" s="1"/>
  <c r="H6" i="2"/>
  <c r="D14" i="5" l="1"/>
  <c r="D15" i="5" s="1"/>
  <c r="D16" i="5" s="1"/>
  <c r="F36" i="3"/>
  <c r="C15" i="5"/>
  <c r="O13" i="5"/>
  <c r="D13" i="4"/>
  <c r="H18" i="4"/>
  <c r="G8" i="2"/>
  <c r="H8" i="2" s="1"/>
  <c r="C9" i="2"/>
  <c r="F9" i="2" s="1"/>
  <c r="C37" i="3"/>
  <c r="E37" i="3" s="1"/>
  <c r="C8" i="5"/>
  <c r="I7" i="2"/>
  <c r="I6" i="2"/>
  <c r="D14" i="4" l="1"/>
  <c r="I5" i="1"/>
  <c r="G9" i="2"/>
  <c r="H9" i="2" s="1"/>
  <c r="C10" i="2"/>
  <c r="F10" i="2" s="1"/>
  <c r="C38" i="3"/>
  <c r="E38" i="3" s="1"/>
  <c r="F37" i="3"/>
  <c r="E14" i="5"/>
  <c r="E8" i="5"/>
  <c r="E10" i="5" s="1"/>
  <c r="I8" i="2"/>
  <c r="G10" i="2" l="1"/>
  <c r="H10" i="2" s="1"/>
  <c r="C11" i="2"/>
  <c r="F11" i="2" s="1"/>
  <c r="C39" i="3"/>
  <c r="E39" i="3" s="1"/>
  <c r="F38" i="3"/>
  <c r="F14" i="5"/>
  <c r="F15" i="5" s="1"/>
  <c r="E15" i="5"/>
  <c r="F8" i="5"/>
  <c r="I9" i="2"/>
  <c r="G11" i="2" l="1"/>
  <c r="H11" i="2" s="1"/>
  <c r="C12" i="2"/>
  <c r="F12" i="2" s="1"/>
  <c r="C40" i="3"/>
  <c r="E40" i="3" s="1"/>
  <c r="F39" i="3"/>
  <c r="G14" i="5"/>
  <c r="E16" i="5"/>
  <c r="F10" i="5"/>
  <c r="F16" i="5" s="1"/>
  <c r="G8" i="5"/>
  <c r="G10" i="5" s="1"/>
  <c r="I10" i="2"/>
  <c r="G12" i="2" l="1"/>
  <c r="H12" i="2" s="1"/>
  <c r="I12" i="2" s="1"/>
  <c r="C13" i="2"/>
  <c r="F13" i="2" s="1"/>
  <c r="C41" i="3"/>
  <c r="E41" i="3" s="1"/>
  <c r="F40" i="3"/>
  <c r="H14" i="5"/>
  <c r="H15" i="5" s="1"/>
  <c r="G15" i="5"/>
  <c r="I11" i="2"/>
  <c r="H8" i="5"/>
  <c r="I8" i="5" l="1"/>
  <c r="G13" i="2"/>
  <c r="H13" i="2" s="1"/>
  <c r="I13" i="2" s="1"/>
  <c r="C14" i="2"/>
  <c r="F14" i="2" s="1"/>
  <c r="C42" i="3"/>
  <c r="E42" i="3" s="1"/>
  <c r="F41" i="3"/>
  <c r="I14" i="5"/>
  <c r="G16" i="5"/>
  <c r="H10" i="5"/>
  <c r="H16" i="5" s="1"/>
  <c r="J8" i="5" l="1"/>
  <c r="G14" i="2"/>
  <c r="H14" i="2"/>
  <c r="I14" i="2" s="1"/>
  <c r="C15" i="2"/>
  <c r="F15" i="2" s="1"/>
  <c r="C43" i="3"/>
  <c r="E43" i="3" s="1"/>
  <c r="F42" i="3"/>
  <c r="J14" i="5"/>
  <c r="I15" i="5"/>
  <c r="I10" i="5"/>
  <c r="K8" i="5" l="1"/>
  <c r="G15" i="2"/>
  <c r="H15" i="2" s="1"/>
  <c r="I15" i="2" s="1"/>
  <c r="C16" i="2"/>
  <c r="F16" i="2" s="1"/>
  <c r="C44" i="3"/>
  <c r="E44" i="3" s="1"/>
  <c r="F43" i="3"/>
  <c r="K14" i="5"/>
  <c r="K15" i="5" s="1"/>
  <c r="I16" i="5"/>
  <c r="J10" i="5"/>
  <c r="J15" i="5"/>
  <c r="J16" i="5" l="1"/>
  <c r="L8" i="5"/>
  <c r="L10" i="5" s="1"/>
  <c r="C45" i="3"/>
  <c r="E45" i="3" s="1"/>
  <c r="G16" i="2"/>
  <c r="H16" i="2" s="1"/>
  <c r="I16" i="2" s="1"/>
  <c r="C17" i="2"/>
  <c r="F17" i="2" s="1"/>
  <c r="F44" i="3"/>
  <c r="L14" i="5"/>
  <c r="K10" i="5"/>
  <c r="K16" i="5" s="1"/>
  <c r="F45" i="3" l="1"/>
  <c r="M14" i="5"/>
  <c r="M15" i="5" s="1"/>
  <c r="M8" i="5"/>
  <c r="G17" i="2"/>
  <c r="H17" i="2" s="1"/>
  <c r="I17" i="2" s="1"/>
  <c r="I18" i="2" s="1"/>
  <c r="F18" i="2"/>
  <c r="C46" i="3"/>
  <c r="E46" i="3" s="1"/>
  <c r="C5" i="1"/>
  <c r="L15" i="5"/>
  <c r="O8" i="5" l="1"/>
  <c r="M10" i="5"/>
  <c r="M16" i="5" s="1"/>
  <c r="H18" i="2"/>
  <c r="N8" i="5"/>
  <c r="N10" i="5" s="1"/>
  <c r="E47" i="3"/>
  <c r="C23" i="5" s="1"/>
  <c r="F46" i="3"/>
  <c r="F47" i="3" s="1"/>
  <c r="N14" i="5"/>
  <c r="L16" i="5"/>
  <c r="F5" i="1" l="1"/>
  <c r="C22" i="5"/>
  <c r="G18" i="2"/>
  <c r="O14" i="5"/>
  <c r="N15" i="5"/>
  <c r="D23" i="5" l="1"/>
  <c r="D25" i="5"/>
  <c r="D27" i="5"/>
  <c r="D29" i="5"/>
  <c r="C24" i="5"/>
  <c r="C9" i="5"/>
  <c r="O15" i="5"/>
  <c r="N16" i="5"/>
  <c r="D24" i="5" l="1"/>
  <c r="C26" i="5"/>
  <c r="C10" i="5"/>
  <c r="O9" i="5"/>
  <c r="L5" i="1"/>
  <c r="F38" i="5"/>
  <c r="D26" i="5" l="1"/>
  <c r="C28" i="5"/>
  <c r="C16" i="5"/>
  <c r="O10" i="5"/>
  <c r="D28" i="5" l="1"/>
  <c r="C30" i="5"/>
  <c r="O16" i="5"/>
  <c r="C17" i="5"/>
  <c r="D17" i="5" s="1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B9" i="1" l="1"/>
  <c r="D30" i="5"/>
  <c r="F39" i="5"/>
  <c r="F40" i="5" s="1"/>
  <c r="F41" i="5" s="1"/>
  <c r="O17" i="5"/>
  <c r="C35" i="5"/>
  <c r="C36" i="5" s="1"/>
  <c r="C4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</author>
  </authors>
  <commentList>
    <comment ref="B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
Escenario condicionado: Pulso aún sin registro. Beneficio exige inscripción tributaria en régimen general y registro micro/pequeña ante MEIC o MAG. 0% del impuesto determinado años 1–3; 25% años 4–5; 50% año 6. Primer año desde inscripción tributaria. No es tasa sobre ventas ni concede exención de otros tributos. Fuente: https://www.hacienda.go.cr/docs/BeneficiosPymes1.pdf
https://www.mtss.go.cr/temas-laborales/salarios/lista_salarios_minimos_2026.pdf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</author>
  </authors>
  <commentList>
    <comment ref="D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Servicios!C11.
Altas básicas: 5 en mes 1; después 1 Pro Gym por mes. Es una proyección, no contratos confirmados.</t>
        </r>
      </text>
    </comment>
    <comment ref="E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Servicios!D11.
Altas básicas: 5 en mes 1; después 1 Pro Gym por mes. Es una proyección, no contratos confirmados.</t>
        </r>
      </text>
    </comment>
    <comment ref="E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Servicios!E11.
Altas básicas: 5 en mes 1; después 1 Pro Gym por mes. Es una proyección, no contratos confirmados.</t>
        </r>
      </text>
    </comment>
    <comment ref="E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Servicios!F11.
Altas básicas: 5 en mes 1; después 1 Pro Gym por mes. Es una proyección, no contratos confirmados.</t>
        </r>
      </text>
    </comment>
    <comment ref="E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9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0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Servicios!G11.
Altas básicas: 5 en mes 1; después 1 Pro Gym por mes. Es una proyección, no contratos confirmados.</t>
        </r>
      </text>
    </comment>
    <comment ref="E10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0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Servicios!H11.
Altas básicas: 5 en mes 1; después 1 Pro Gym por mes. Es una proyección, no contratos confirmados.</t>
        </r>
      </text>
    </comment>
    <comment ref="E1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Servicios!I11.
Altas básicas: 5 en mes 1; después 1 Pro Gym por mes. Es una proyección, no contratos confirmados.</t>
        </r>
      </text>
    </comment>
    <comment ref="E1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Servicios!J11.
Altas básicas: 5 en mes 1; después 1 Pro Gym por mes. Es una proyección, no contratos confirmados.</t>
        </r>
      </text>
    </comment>
    <comment ref="E13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3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Servicios!K11.
Altas básicas: 5 en mes 1; después 1 Pro Gym por mes. Es una proyección, no contratos confirmados.</t>
        </r>
      </text>
    </comment>
    <comment ref="E1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5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Servicios!L11.
Altas básicas: 5 en mes 1; después 1 Pro Gym por mes. Es una proyección, no contratos confirmados.</t>
        </r>
      </text>
    </comment>
    <comment ref="E15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5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6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Servicios!M11.
Altas básicas: 5 en mes 1; después 1 Pro Gym por mes. Es una proyección, no contratos confirmados.</t>
        </r>
      </text>
    </comment>
    <comment ref="E16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6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  <comment ref="D17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Servicios!N11.
Altas básicas: 5 en mes 1; después 1 Pro Gym por mes. Es una proyección, no contratos confirmados.</t>
        </r>
      </text>
    </comment>
    <comment ref="E1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Servicios!C7:N10.
Bajas proyectadas de Pro Gym en meses 6 y 10; no se aplica un porcentaje de churn ficticio.</t>
        </r>
      </text>
    </comment>
    <comment ref="G1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Fuente: Modelo de Costeo y Precio.xlsx; PPTO Vtas Productos!C5:C6.
Un Starter a ₡15 000 y los demás Pro Gym a ₡25 000. El precio medio cambia con la mezcla; no es un quinto plan.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</author>
  </authors>
  <commentList>
    <comment ref="D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Trabajo propio aportado sin pago. Horas estimadas, valoradas con salario MTSS 2026 ÷30÷8. https://www.mtss.go.cr/temas-laborales/salarios/lista_salarios_minimos_2026.pdf</t>
        </r>
      </text>
    </comment>
    <comment ref="D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Trabajo propio aportado sin pago. Horas estimadas, valoradas con salario MTSS 2026 ÷30÷8. https://www.mtss.go.cr/temas-laborales/salarios/lista_salarios_minimos_2026.pdf</t>
        </r>
      </text>
    </comment>
    <comment ref="D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Trabajo propio aportado sin pago. Horas estimadas, valoradas con salario MTSS 2026 ÷30÷8. https://www.mtss.go.cr/temas-laborales/salarios/lista_salarios_minimos_2026.pdf</t>
        </r>
      </text>
    </comment>
    <comment ref="D10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Trabajo propio aportado sin pago. Horas estimadas, valoradas con salario MTSS 2026 ÷30÷8. https://www.mtss.go.cr/temas-laborales/salarios/lista_salarios_minimos_2026.pdf</t>
        </r>
      </text>
    </comment>
    <comment ref="D1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Trabajo propio aportado sin pago. Horas estimadas, valoradas con salario MTSS 2026 ÷30÷8. https://www.mtss.go.cr/temas-laborales/salarios/lista_salarios_minimos_2026.pdf</t>
        </r>
      </text>
    </comment>
    <comment ref="D1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Costeo!E94:E98 y E104:E106.
Fijo común independiente del número de clientes; los excedentes se calculan aparte.</t>
        </r>
      </text>
    </comment>
    <comment ref="D1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D1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Costeo!E102.
Fijo común independiente del número de clientes; los excedentes se calculan aparte.</t>
        </r>
      </text>
    </comment>
    <comment ref="D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Costeo!E99:E100.
Fijo común independiente del número de clientes; los excedentes se calculan aparte.</t>
        </r>
      </text>
    </comment>
    <comment ref="D2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Costeo!E101.
Fijo común independiente del número de clientes; los excedentes se calculan aparte.</t>
        </r>
      </text>
    </comment>
    <comment ref="D2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 xml:space="preserve">Fuente: Modelo de Costeo y Precio.xlsx; Costeo!B43:C43 y B50.
</t>
        </r>
      </text>
    </comment>
    <comment ref="D28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Costeo!B125:C127.
80/200 miembros; 2 correos por miembro + 20 administrativos/mes; 32 KB/correo; SES 0,16 USD/1 000 + 0,12 USD/GB. IA: 2 respuestas/miembro, 4 000 tokens entrada + 300 salida; 0,40/1,60 USD por millón; cambio 500. Escenario de uso, no consumo medido.</t>
        </r>
      </text>
    </comment>
    <comment ref="D29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Costeo!B72:B73.
No incluye recaudar las membresías de los gimnasios; si se usa pasarela debe incorporarse su tarifa.</t>
        </r>
      </text>
    </comment>
    <comment ref="E3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3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3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3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3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  <comment ref="E4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Servicio por mezcla + altas de 8 h a referencia MTSS + nube de cartera. Trabajo propio sin pago; tarifas de nube conservadas del modelo. Estimación interna aprobada 17/09/2026; no cotización. Mes 1: 3 recorridos bus × 2 personas × ₡2 000 = ₡12 000; 2 en vehículo × ₡4 000 = ₡8 000; 1 combinado/taxi ₡8 000; comida 2 jornadas × 2 personas × ₡3 000 = ₡12 000. Total ₡40 000. Meses 2–12: 2 recorridos × 2 personas × ₡2 000 + ₡4 000 alimentación = ₡12 000/mes. Diez prospectos; conversión hipotética 50%, no ventas confirmadas. Tiempo: 6 o 2 recorridos × 3 h × 2 personas; no duplica soporte ni instalación.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</author>
  </authors>
  <commentList>
    <comment ref="D1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Fuente: Modelo de Costeo y Precio.xlsx; Costeo!B129:C129; PPTO Vtas Productos!C5:C6.
Resolución algebraica para 1 Starter + (n−1) Pro. El mínimo entero se verifica con el resultado de la tabla, incluyendo saltos de nube.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Pulso</author>
  </authors>
  <commentList>
    <comment ref="C9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Liquidez mínima = mayor entre ₡40 000 para viáticos anteriores a primeras ventas y el déficit mensual de efectivo. No duplica gasto: el aporte financia los viáticos ya incluidos en egresos. Trabajo propio sin pago. Otros cobros y pagos se suponen dentro del mismo mes.</t>
        </r>
      </text>
    </comment>
    <comment ref="C2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Escenario condicionado: Pulso aún sin registro. Beneficio exige inscripción tributaria en régimen general y registro micro/pequeña ante MEIC o MAG. 0% del impuesto determinado años 1–3; 25% años 4–5; 50% año 6. Primer año desde inscripción tributaria. No es tasa sobre ventas ni concede exención de otros tributos. Fuente: https://www.hacienda.go.cr/docs/BeneficiosPymes1.pdf</t>
        </r>
      </text>
    </comment>
    <comment ref="C38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El modelo reconoce todo el desarrollo como costo del año para mantener consistencia con Modelo de Costeo y Precio.xlsx. No se registra simultáneamente un activo ni amortización de ese gasto.</t>
        </r>
      </text>
    </comment>
    <comment ref="F38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Balance gerencial: aporte económico del trabajo propio (no capital social legal ni deuda) más aporte de efectivo. Todo desarrollo es gasto del año; no activo duplicado.</t>
        </r>
      </text>
    </comment>
  </commentList>
</comments>
</file>

<file path=xl/sharedStrings.xml><?xml version="1.0" encoding="utf-8"?>
<sst xmlns="http://schemas.openxmlformats.org/spreadsheetml/2006/main" count="177" uniqueCount="149">
  <si>
    <t>ESTADOS FINANCIEROS PROYECTADOS (AÑO 1)</t>
  </si>
  <si>
    <t>Flujo: solo efectivo. Resultado: incluye trabajo aportado. Renta 0 bajo formalización MYPE; no es beneficio confirmado.</t>
  </si>
  <si>
    <t>1. FLUJO DE EFECTIVO (TRABAJO PROPIO SIN PAGO)</t>
  </si>
  <si>
    <t>Concepto / Mes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</si>
  <si>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</si>
  <si>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</si>
  <si>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</si>
  <si>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</si>
  <si>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</si>
  <si>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</si>
  <si>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</si>
  <si>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</si>
  <si>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</si>
  <si>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</si>
  <si>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</si>
  <si>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</si>
  <si>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Año 1</t>
  </si>
  <si>
    <t>ENTRADAS DE EFECTIVO</t>
  </si>
  <si>
    <t xml:space="preserve">  Ingresos por Suscripciones (MRR)</t>
  </si>
  <si>
    <t xml:space="preserve">  Aporte de Capital Inicial / Socio</t>
  </si>
  <si>
    <t>TOTAL ENTRADAS</t>
  </si>
  <si>
    <t>SALIDAS DE EFECTIVO</t>
  </si>
  <si>
    <t xml:space="preserve">  Desarrollo: desembolso efectivo</t>
  </si>
  <si>
    <t xml:space="preserve">  Gastos Fijos Operativos (OPEX)</t>
  </si>
  <si>
    <t xml:space="preserve">  Servicios y nube: pagos externos</t>
  </si>
  <si>
    <t>TOTAL SALIDAS</t>
  </si>
  <si>
    <t>FLUJO NETO DE CAJA MENSUAL</t>
  </si>
  <si>
    <t>SALDO DE CAJA ACUMULADO</t>
  </si>
  <si>
    <t>2. ESTADO DE GANANCIAS Y PÉRDIDAS PROYECTADO (AÑO 1)</t>
  </si>
  <si>
    <t>Estructura del Estado de Resultados</t>
  </si>
  <si>
    <t>Monto Anual (₡)</t>
  </si>
  <si>
    <t>% sobre Ventas</t>
  </si>
  <si>
    <t>Ingresos Operativos Totales (Ventas)</t>
  </si>
  <si>
    <t xml:space="preserve">(-) Costos Directos de Operación </t>
  </si>
  <si>
    <t>UTILIDAD BRUTA</t>
  </si>
  <si>
    <t xml:space="preserve">(-) Gastos Operativos Fijos </t>
  </si>
  <si>
    <t>RESULTADO ANTES DEL DESARROLLO</t>
  </si>
  <si>
    <t>(-) Desarrollo inicial (gasto del año)</t>
  </si>
  <si>
    <t xml:space="preserve">UTILIDAD ANTES DE IMPUESTOS </t>
  </si>
  <si>
    <t>Renta: escenario MYPE formalizada</t>
  </si>
  <si>
    <t>0% del impuesto determinado en años 1–3, condicionado a registros y requisitos. Pulso todavía sin registrar.</t>
  </si>
  <si>
    <t>RESULTADO ECONÓMICO · ESCENARIO MYPE</t>
  </si>
  <si>
    <t>3. BALANCE ECONÓMICO (APORTES DE EFECTIVO Y TRABAJO)</t>
  </si>
  <si>
    <t>Cuenta Contable</t>
  </si>
  <si>
    <t>Monto al Cierre (₡)</t>
  </si>
  <si>
    <t>ACTIVOS CORRIENTES</t>
  </si>
  <si>
    <t>PASIVOS CORRIENTES</t>
  </si>
  <si>
    <t xml:space="preserve">  Efectivo y Bancos (Caja Final)</t>
  </si>
  <si>
    <t xml:space="preserve">  Deuda financiera modelada</t>
  </si>
  <si>
    <t>TOTAL ACTIVOS CORRIENTES</t>
  </si>
  <si>
    <t>TOTAL PASIVOS CORRIENTES</t>
  </si>
  <si>
    <t>ACTIVOS NO CORRIENTES</t>
  </si>
  <si>
    <t>PATRIMONIO</t>
  </si>
  <si>
    <t xml:space="preserve">  Desarrollo capitalizado (no aplicado)</t>
  </si>
  <si>
    <t xml:space="preserve">  Aportes de efectivo y trabajo</t>
  </si>
  <si>
    <t xml:space="preserve">  Amortización (no aplicada)</t>
  </si>
  <si>
    <t xml:space="preserve">  Utilidades Acumuladas del Ejercicio</t>
  </si>
  <si>
    <t>TOTAL ACTIVOS NO CORRIENTES</t>
  </si>
  <si>
    <t>TOTAL PATRIMONIO</t>
  </si>
  <si>
    <t>TOTAL ACTIVOS</t>
  </si>
  <si>
    <t>TOTAL PASIVO + PATRIMONIO</t>
  </si>
  <si>
    <t>PULSO: ANÁLISIS ECONÓMICO DEL SERVICIO SaaS</t>
  </si>
  <si>
    <t>Cartera Starter + Pro Gym · costo económico y efectivo separados · beneficio MYPE condicionado</t>
  </si>
  <si>
    <t>GIMNASIOS AL CIERRE</t>
  </si>
  <si>
    <t>INGRESOS TOTALES AÑO 1</t>
  </si>
  <si>
    <t>EQUILIBRIO OPERATIVO</t>
  </si>
  <si>
    <t>LIQUIDEZ INICIAL MÍNIMA</t>
  </si>
  <si>
    <t>RESUMEN DEL PROYECTO</t>
  </si>
  <si>
    <t>PROYECCIÓN DE CLIENTES E INGRESOS (MRR)</t>
  </si>
  <si>
    <t>Escenario: 1 Starter y el resto Pro Gym; mensualidad completa desde el alta. Sin ventas Premium/Enterprise.</t>
  </si>
  <si>
    <t>Mes</t>
  </si>
  <si>
    <t>Gimnasios Iniciales</t>
  </si>
  <si>
    <t>Nuevos Clientes</t>
  </si>
  <si>
    <t>Cancelaciones (unidades)</t>
  </si>
  <si>
    <t>Gimnasios Activos Final</t>
  </si>
  <si>
    <t>Precio medio ponderado (₡)</t>
  </si>
  <si>
    <t>Ingreso Mensual MRR (₡)</t>
  </si>
  <si>
    <t>Ingreso Acumulado (₡)</t>
  </si>
  <si>
    <t>TOTAL AÑO 1</t>
  </si>
  <si>
    <t>PRESUPUESTO DE EGRESOS E INVERSIÓN INICIAL</t>
  </si>
  <si>
    <t>Costos económicos: trabajo propio valorado con MTSS 2026; aportado sin pago. Viáticos iniciales y recurrentes diferenciados.</t>
  </si>
  <si>
    <t>1. DESARROLLO INICIAL (UNA SOLA VEZ)</t>
  </si>
  <si>
    <t>Rubro / Concepto</t>
  </si>
  <si>
    <t>Descripción</t>
  </si>
  <si>
    <t>Monto Estimado (₡)</t>
  </si>
  <si>
    <t>Aislamiento de gimnasios</t>
  </si>
  <si>
    <t>Permisos y separación multiempresa: 24 h</t>
  </si>
  <si>
    <t>Autenticación dedicada</t>
  </si>
  <si>
    <t>Ruteo de usuarios a bases dedicadas: 24 h</t>
  </si>
  <si>
    <t>Personalización y cupos</t>
  </si>
  <si>
    <t>Marca/subdominios 12 h + límites de archivos e IA 8 h</t>
  </si>
  <si>
    <t>Mensajería y tareas</t>
  </si>
  <si>
    <t>SES, Redis y worker: 12 h</t>
  </si>
  <si>
    <t>Pruebas y entrega</t>
  </si>
  <si>
    <t>Aislamiento, carga y documentación: 16 h</t>
  </si>
  <si>
    <t>TOTAL DESARROLLO INICIAL</t>
  </si>
  <si>
    <t xml:space="preserve">2. GASTOS OPERATIVOS FIJOS MENSUALES </t>
  </si>
  <si>
    <t>Rubro de Gasto Fijo</t>
  </si>
  <si>
    <t>Detalle Operativo</t>
  </si>
  <si>
    <t>Monto Mensual Base (₡)</t>
  </si>
  <si>
    <t>Infraestructura y dominio</t>
  </si>
  <si>
    <t>Vercel + Supabase + API + dominio + Redis + worker + workspace</t>
  </si>
  <si>
    <t>Transporte y viáticos</t>
  </si>
  <si>
    <t>Mes 1 ₡40 000; después ₡12 000/mes</t>
  </si>
  <si>
    <t>Publicidad digital</t>
  </si>
  <si>
    <t>Anuncios para validación comercial</t>
  </si>
  <si>
    <t>Correo y diseño</t>
  </si>
  <si>
    <t>Workspace: US$7; diseño: US$5; cambio ₡500/USD</t>
  </si>
  <si>
    <t>Mantenimiento y captación</t>
  </si>
  <si>
    <t>4 h mantenimiento + 12 h comerciales/mes</t>
  </si>
  <si>
    <t>Mes 1: 36 h comerciales; meses 2–12: 12 h. Aporte del equipo sin pago, no deuda.</t>
  </si>
  <si>
    <t>TOTAL GASTOS FIJOS BASE / MES</t>
  </si>
  <si>
    <t>3. VARIABLE UNITARIO: MEZCLA INICIAL</t>
  </si>
  <si>
    <t>Componente Variable</t>
  </si>
  <si>
    <t>Descripción / Proveedor</t>
  </si>
  <si>
    <t>Costo por Gym / Mes (₡)</t>
  </si>
  <si>
    <t>Soporte mensual</t>
  </si>
  <si>
    <t>0,5 h × referencia MTSS por hora</t>
  </si>
  <si>
    <t>Correo e IA</t>
  </si>
  <si>
    <t>SES + GPT-4.1 mini; ponderado por miembros de la mezcla</t>
  </si>
  <si>
    <t>Comisiones</t>
  </si>
  <si>
    <t>Transferencia sin pasarela contratada</t>
  </si>
  <si>
    <t>COSTO VARIABLE TOTAL POR GIMNASIO</t>
  </si>
  <si>
    <t>Base por gimnasio en mes 1; nube excedente e instalaciones se calculan aparte según cartera y altas.</t>
  </si>
  <si>
    <t>4. PROYECCIÓN MENSUAL DE EGRESOS (AÑO 1)</t>
  </si>
  <si>
    <t>Gimnasios Activos</t>
  </si>
  <si>
    <t>Gastos Fijos (OPEX)</t>
  </si>
  <si>
    <t>Variables + altas + nube</t>
  </si>
  <si>
    <t>Egresos sin desarrollo</t>
  </si>
  <si>
    <t>ANÁLISIS DE PUNTO DE EQUILIBRIO</t>
  </si>
  <si>
    <t>Escenario: 1 Starter y el resto Pro Gym. Operación mensual; excluye instalación y desarrollo inicial.</t>
  </si>
  <si>
    <t>VARIABLES DE ENTRADA</t>
  </si>
  <si>
    <t>Precio medio de la mezcla inicial</t>
  </si>
  <si>
    <t>Costo Variable por Gimnasio (CVU)</t>
  </si>
  <si>
    <t>Margen de Contribución Unitario (MC = P - CVU)</t>
  </si>
  <si>
    <t>Costos Fijos Mensuales Base (CF)</t>
  </si>
  <si>
    <t>RESULTADO DEL PUNTO DE EQUILIBRIO</t>
  </si>
  <si>
    <t>Umbral teórico (sin salto de nube)</t>
  </si>
  <si>
    <t>Gimnasios Requeridos (Redondeado)</t>
  </si>
  <si>
    <t>Equilibrio de operación; recuperar inversión y altas requiere revisar el acumulado anual.</t>
  </si>
  <si>
    <t>Facturación Mínima Mensual (₡)</t>
  </si>
  <si>
    <t>TABLA DE SENSIBILIDAD Y RESULTADO OPERATIVO SEGÚN VOLUMEN</t>
  </si>
  <si>
    <t>N° Gimnasios</t>
  </si>
  <si>
    <t>Ingresos Totales (₡)</t>
  </si>
  <si>
    <t>Variables + nube (₡)</t>
  </si>
  <si>
    <t>Costos Fijos (₡)</t>
  </si>
  <si>
    <t>Egresos Totales (₡)</t>
  </si>
  <si>
    <t>Resultado Operativo (₡)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</si>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</sst>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₡&quot;#,##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9"/>
      <color rgb="FF595959"/>
      <name val="Calibri"/>
    </font>
    <font>
      <b/>
      <sz val="18"/>
      <color rgb="FF1F4E78"/>
      <name val="Calibri"/>
    </font>
    <font>
      <b/>
      <sz val="13"/>
      <color rgb="FF1F4E78"/>
      <name val="Calibri"/>
    </font>
    <font>
      <sz val="11"/>
      <color rgb="FF1F1F1F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sz val="11"/>
      <color rgb="FF1F1F1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4F8"/>
        <bgColor rgb="FFF2F4F8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0" fontId="8" fillId="0" borderId="3" xfId="0" applyFont="1" applyBorder="1"/>
    <xf numFmtId="3" fontId="0" fillId="0" borderId="3" xfId="0" applyNumberForma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right" vertical="center"/>
    </xf>
    <xf numFmtId="0" fontId="6" fillId="0" borderId="1" xfId="0" applyFont="1" applyBorder="1"/>
    <xf numFmtId="0" fontId="0" fillId="0" borderId="3" xfId="0" applyBorder="1"/>
    <xf numFmtId="164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0" fillId="2" borderId="1" xfId="0" applyFill="1" applyBorder="1"/>
    <xf numFmtId="0" fontId="6" fillId="0" borderId="0" xfId="0" applyFont="1"/>
    <xf numFmtId="0" fontId="8" fillId="0" borderId="0" xfId="0" applyFont="1"/>
    <xf numFmtId="164" fontId="8" fillId="3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/>
    <xf numFmtId="165" fontId="6" fillId="5" borderId="1" xfId="0" applyNumberFormat="1" applyFont="1" applyFill="1" applyBorder="1" applyAlignment="1">
      <alignment horizontal="right" vertical="center"/>
    </xf>
    <xf numFmtId="165" fontId="8" fillId="2" borderId="1" xfId="0" applyNumberFormat="1" applyFont="1" applyFill="1" applyBorder="1" applyAlignment="1">
      <alignment horizontal="right" vertical="center"/>
    </xf>
    <xf numFmtId="0" fontId="8" fillId="2" borderId="3" xfId="0" applyFont="1" applyFill="1" applyBorder="1"/>
    <xf numFmtId="164" fontId="8" fillId="2" borderId="3" xfId="0" applyNumberFormat="1" applyFont="1" applyFill="1" applyBorder="1" applyAlignment="1">
      <alignment horizontal="right" vertical="center"/>
    </xf>
    <xf numFmtId="165" fontId="8" fillId="2" borderId="3" xfId="0" applyNumberFormat="1" applyFont="1" applyFill="1" applyBorder="1" applyAlignment="1">
      <alignment horizontal="right" vertical="center"/>
    </xf>
    <xf numFmtId="0" fontId="7" fillId="4" borderId="0" xfId="0" applyFont="1" applyFill="1"/>
    <xf numFmtId="0" fontId="7" fillId="4" borderId="0" xfId="0" applyFont="1" applyFill="1" applyAlignment="1">
      <alignment horizontal="right" vertical="center"/>
    </xf>
    <xf numFmtId="0" fontId="8" fillId="3" borderId="1" xfId="0" applyFont="1" applyFill="1" applyBorder="1"/>
    <xf numFmtId="0" fontId="0" fillId="3" borderId="1" xfId="0" applyFill="1" applyBorder="1"/>
    <xf numFmtId="164" fontId="6" fillId="0" borderId="0" xfId="0" applyNumberFormat="1" applyFont="1" applyAlignment="1">
      <alignment horizontal="right" vertical="center"/>
    </xf>
    <xf numFmtId="0" fontId="9" fillId="5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6" fillId="3" borderId="1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Ingresos y pagos efectivos por mes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'Clientes e Ingresos'!$H$5</c:f>
              <c:strCache>
                <c:ptCount val="1"/>
                <c:pt idx="0">
                  <c:v>Ingreso Mensual MRR (₡)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'Clientes e Ingresos'!$B$6:$B$17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'Clientes e Ingresos'!$H$6:$H$17</c:f>
              <c:numCache>
                <c:formatCode>"₡"#\ ##0</c:formatCode>
                <c:ptCount val="12"/>
                <c:pt idx="0">
                  <c:v>115000</c:v>
                </c:pt>
                <c:pt idx="1">
                  <c:v>140000</c:v>
                </c:pt>
                <c:pt idx="2">
                  <c:v>165000</c:v>
                </c:pt>
                <c:pt idx="3">
                  <c:v>190000</c:v>
                </c:pt>
                <c:pt idx="4">
                  <c:v>215000</c:v>
                </c:pt>
                <c:pt idx="5">
                  <c:v>215000</c:v>
                </c:pt>
                <c:pt idx="6">
                  <c:v>240000</c:v>
                </c:pt>
                <c:pt idx="7">
                  <c:v>265000</c:v>
                </c:pt>
                <c:pt idx="8">
                  <c:v>290000</c:v>
                </c:pt>
                <c:pt idx="9">
                  <c:v>290000</c:v>
                </c:pt>
                <c:pt idx="10">
                  <c:v>315000</c:v>
                </c:pt>
                <c:pt idx="11">
                  <c:v>340000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0-4D6F-A705-39A9D6ECB4D2}"/>
            </c:ext>
          </c:extLst>
        </c:ser>
        <c:ser>
          <c:idx val="1"/>
          <c:order val="1"/>
          <c:tx>
            <c:strRef>
              <c:f>'Egresos e Inversión'!$F$34</c:f>
              <c:strCache>
                <c:ptCount val="1"/>
                <c:pt idx="0">
                  <c:v>Egresos sin desarrollo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'Clientes e Ingresos'!$B$6:$B$17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'Estados Financieros'!$C$15:$N$15</c:f>
              <c:numCache>
                <c:formatCode>"₡"#\ ##0</c:formatCode>
                <c:ptCount val="12"/>
                <c:pt idx="0">
                  <c:v>111107.79</c:v>
                </c:pt>
                <c:pt idx="1">
                  <c:v>83558.2</c:v>
                </c:pt>
                <c:pt idx="2">
                  <c:v>84008.61</c:v>
                </c:pt>
                <c:pt idx="3">
                  <c:v>94459.02</c:v>
                </c:pt>
                <c:pt idx="4">
                  <c:v>94909.43</c:v>
                </c:pt>
                <c:pt idx="5">
                  <c:v>94909.43</c:v>
                </c:pt>
                <c:pt idx="6">
                  <c:v>95359.84</c:v>
                </c:pt>
                <c:pt idx="7">
                  <c:v>98310.25</c:v>
                </c:pt>
                <c:pt idx="8">
                  <c:v>98760.66</c:v>
                </c:pt>
                <c:pt idx="9">
                  <c:v>98760.66</c:v>
                </c:pt>
                <c:pt idx="10">
                  <c:v>99211.069999999992</c:v>
                </c:pt>
                <c:pt idx="11">
                  <c:v>99661.48000000001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0-4D6F-A705-39A9D6ECB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Colones (₡)</a:t>
                </a:r>
              </a:p>
            </c:rich>
          </c:tx>
          <c:overlay val="0"/>
        </c:title>
        <c:numFmt formatCode="&quot;₡&quot;#\ 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R"/>
              <a:t>Saldo acumulado con financiamiento inicial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'Estados Financieros'!$C$6:$N$6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'Estados Financieros'!$C$17:$N$17</c:f>
              <c:numCache>
                <c:formatCode>"₡"#\ ##0</c:formatCode>
                <c:ptCount val="12"/>
                <c:pt idx="0">
                  <c:v>43892.210000000006</c:v>
                </c:pt>
                <c:pt idx="1">
                  <c:v>100334.01000000001</c:v>
                </c:pt>
                <c:pt idx="2">
                  <c:v>181325.40000000002</c:v>
                </c:pt>
                <c:pt idx="3">
                  <c:v>276866.38</c:v>
                </c:pt>
                <c:pt idx="4">
                  <c:v>396956.95</c:v>
                </c:pt>
                <c:pt idx="5">
                  <c:v>517047.52</c:v>
                </c:pt>
                <c:pt idx="6">
                  <c:v>661687.68000000005</c:v>
                </c:pt>
                <c:pt idx="7">
                  <c:v>828377.43</c:v>
                </c:pt>
                <c:pt idx="8">
                  <c:v>1019616.77</c:v>
                </c:pt>
                <c:pt idx="9">
                  <c:v>1210856.1100000001</c:v>
                </c:pt>
                <c:pt idx="10">
                  <c:v>1426645.04</c:v>
                </c:pt>
                <c:pt idx="11">
                  <c:v>1666983.56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F-43C5-BCF8-DB3129751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R"/>
                  <a:t>Saldo en Caja (₡)</a:t>
                </a:r>
              </a:p>
            </c:rich>
          </c:tx>
          <c:overlay val="0"/>
        </c:title>
        <c:numFmt formatCode="&quot;₡&quot;#\ 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s://www.hacienda.go.cr/docs/BeneficiosPymes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zoomScale="81" workbookViewId="0">
      <selection activeCell="B2" sqref="B2"/>
    </sheetView>
  </sheetViews>
  <sheetFormatPr baseColWidth="10" defaultColWidth="8.88671875" defaultRowHeight="14.4" x14ac:dyDescent="0.3"/>
  <cols>
    <col min="1" max="1" width="3" customWidth="1"/>
    <col min="2" max="2" width="24" customWidth="1"/>
    <col min="3" max="3" width="29" customWidth="1"/>
    <col min="4" max="5" width="12" customWidth="1"/>
    <col min="6" max="6" width="26" customWidth="1"/>
    <col min="7" max="8" width="12" customWidth="1"/>
    <col min="9" max="9" width="23" customWidth="1"/>
    <col min="10" max="11" width="12" customWidth="1"/>
    <col min="12" max="12" width="28" customWidth="1"/>
    <col min="13" max="13" width="12" customWidth="1"/>
  </cols>
  <sheetData>
    <row r="2" spans="2:13" ht="21" customHeight="1" x14ac:dyDescent="0.4">
      <c r="B2" s="1" t="s">
        <v>61</v>
      </c>
    </row>
    <row r="3" spans="2:13" x14ac:dyDescent="0.3">
      <c r="B3" s="2" t="s">
        <v>62</v>
      </c>
    </row>
    <row r="4" spans="2:13" x14ac:dyDescent="0.3">
      <c r="C4" s="45" t="s">
        <v>63</v>
      </c>
      <c r="D4" s="46"/>
      <c r="F4" s="45" t="s">
        <v>64</v>
      </c>
      <c r="G4" s="46"/>
      <c r="I4" s="45" t="s">
        <v>65</v>
      </c>
      <c r="J4" s="46"/>
      <c r="L4" s="45" t="s">
        <v>66</v>
      </c>
      <c r="M4" s="46"/>
    </row>
    <row r="5" spans="2:13" x14ac:dyDescent="0.3">
      <c r="C5" s="57">
        <f>'Clientes e Ingresos'!F17</f>
        <v>14</v>
      </c>
      <c r="D5" s="46"/>
      <c r="F5" s="56">
        <f>'Clientes e Ingresos'!H18</f>
        <v>2780000</v>
      </c>
      <c r="G5" s="46"/>
      <c r="I5" s="57">
        <f>'Punto de Equilibrio'!D13</f>
        <v>6</v>
      </c>
      <c r="J5" s="46"/>
      <c r="L5" s="56">
        <f>'Estados Financieros'!C9</f>
        <v>40000</v>
      </c>
      <c r="M5" s="46"/>
    </row>
    <row r="8" spans="2:13" ht="17.399999999999999" customHeight="1" x14ac:dyDescent="0.35">
      <c r="B8" s="3" t="s">
        <v>67</v>
      </c>
    </row>
    <row r="9" spans="2:13" x14ac:dyDescent="0.3">
      <c r="B9" s="47" t="str">
        <f>"Pulso: escenario de 1 Starter y el resto Pro Gym; "&amp;'Clientes e Ingresos'!F17&amp;" activos al cierre. No son ventas confirmadas."&amp;CHAR(10)&amp;"• Viáticos: ₡40 000 mes 1; ₡12 000/mes después. Diez prospectos, meta cinco altas iniciales."&amp;CHAR(10)&amp;"• Hora técnica: salario MTSS ₡496 838,17 ÷30÷8. Trabajo propio aportado sin pago."&amp;CHAR(10)&amp;"• Desarrollo: ₡"&amp;TEXT('Egresos e Inversión'!D12,"#,##0.00")&amp;" de costo económico; no desembolso inicial."&amp;CHAR(10)&amp;"• Resultado económico anual: ₡"&amp;TEXT('Estados Financieros'!C30,"#,##0.00")&amp;". Renta 0 condicionada a formalización MYPE."&amp;CHAR(10)&amp;"• Precios de venta conservados. Equilibrio mensual distinto de recuperar el trabajo invertido."</f>
        <v>Pulso: escenario de 1 Starter y el resto Pro Gym; 14 activos al cierre. No son ventas confirmadas.
• Viáticos: ₡40 000 mes 1; ₡12 000/mes después. Diez prospectos, meta cinco altas iniciales.
• Hora técnica: salario MTSS ₡496 838,17 ÷30÷8. Trabajo propio aportado sin pago.
• Desarrollo: ₡198735,268.00 de costo económico; no desembolso inicial.
• Resultado económico anual: ₡596044,357.25. Renta 0 condicionada a formalización MYPE.
• Precios de venta conservados. Equilibrio mensual distinto de recuperar el trabajo invertido.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2:13" x14ac:dyDescent="0.3">
      <c r="B10" s="50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2:13" x14ac:dyDescent="0.3"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2:13" x14ac:dyDescent="0.3"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2"/>
    </row>
    <row r="13" spans="2:13" x14ac:dyDescent="0.3"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2"/>
    </row>
    <row r="14" spans="2:13" x14ac:dyDescent="0.3"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2:13" x14ac:dyDescent="0.3">
      <c r="B15" s="53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5"/>
    </row>
  </sheetData>
  <mergeCells count="9">
    <mergeCell ref="F4:G4"/>
    <mergeCell ref="I4:J4"/>
    <mergeCell ref="L4:M4"/>
    <mergeCell ref="B9:M15"/>
    <mergeCell ref="F5:G5"/>
    <mergeCell ref="C5:D5"/>
    <mergeCell ref="I5:J5"/>
    <mergeCell ref="L5:M5"/>
    <mergeCell ref="C4:D4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8"/>
  <sheetViews>
    <sheetView workbookViewId="0">
      <selection activeCell="C3" sqref="C3"/>
    </sheetView>
  </sheetViews>
  <sheetFormatPr baseColWidth="10" defaultColWidth="8.88671875" defaultRowHeight="14.4" x14ac:dyDescent="0.3"/>
  <cols>
    <col min="1" max="2" width="12" customWidth="1"/>
    <col min="3" max="3" width="20" customWidth="1"/>
    <col min="4" max="4" width="18" customWidth="1"/>
    <col min="5" max="6" width="22" customWidth="1"/>
    <col min="7" max="7" width="18" customWidth="1"/>
    <col min="8" max="9" width="22" customWidth="1"/>
  </cols>
  <sheetData>
    <row r="2" spans="2:9" ht="21" customHeight="1" x14ac:dyDescent="0.4">
      <c r="B2" s="1" t="s">
        <v>68</v>
      </c>
    </row>
    <row r="3" spans="2:9" x14ac:dyDescent="0.3">
      <c r="B3" s="2" t="s">
        <v>69</v>
      </c>
    </row>
    <row r="5" spans="2:9" ht="28.8" customHeight="1" x14ac:dyDescent="0.3"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  <c r="H5" s="4" t="s">
        <v>76</v>
      </c>
      <c r="I5" s="4" t="s">
        <v>77</v>
      </c>
    </row>
    <row r="6" spans="2:9" x14ac:dyDescent="0.3">
      <c r="B6" s="5" t="s">
        <v>4</v>
      </c>
      <c r="C6" s="6">
        <v>0</v>
      </c>
      <c r="D6" s="6">
        <v>5</v>
      </c>
      <c r="E6" s="6">
        <v>0</v>
      </c>
      <c r="F6" s="6">
        <f t="shared" ref="F6:F17" si="0">C6+D6-E6</f>
        <v>5</v>
      </c>
      <c r="G6" s="7">
        <f t="shared" ref="G6:G17" si="1">IF(F6&gt;0,(15000+MAX(0,F6-1)*25000)/F6,0)</f>
        <v>23000</v>
      </c>
      <c r="H6" s="7">
        <f t="shared" ref="H6:H17" si="2">ROUND(F6*G6,2)</f>
        <v>115000</v>
      </c>
      <c r="I6" s="7">
        <f>SUM($H$6:H6)</f>
        <v>115000</v>
      </c>
    </row>
    <row r="7" spans="2:9" x14ac:dyDescent="0.3">
      <c r="B7" s="8" t="s">
        <v>5</v>
      </c>
      <c r="C7" s="9">
        <f t="shared" ref="C7:C17" si="3">F6</f>
        <v>5</v>
      </c>
      <c r="D7" s="9">
        <v>1</v>
      </c>
      <c r="E7" s="9">
        <v>0</v>
      </c>
      <c r="F7" s="9">
        <f t="shared" si="0"/>
        <v>6</v>
      </c>
      <c r="G7" s="10">
        <f t="shared" si="1"/>
        <v>23333.333333333332</v>
      </c>
      <c r="H7" s="10">
        <f t="shared" si="2"/>
        <v>140000</v>
      </c>
      <c r="I7" s="10">
        <f>SUM($H$6:H7)</f>
        <v>255000</v>
      </c>
    </row>
    <row r="8" spans="2:9" x14ac:dyDescent="0.3">
      <c r="B8" s="5" t="s">
        <v>6</v>
      </c>
      <c r="C8" s="6">
        <f t="shared" si="3"/>
        <v>6</v>
      </c>
      <c r="D8" s="6">
        <v>1</v>
      </c>
      <c r="E8" s="6">
        <v>0</v>
      </c>
      <c r="F8" s="6">
        <f t="shared" si="0"/>
        <v>7</v>
      </c>
      <c r="G8" s="7">
        <f t="shared" si="1"/>
        <v>23571.428571428572</v>
      </c>
      <c r="H8" s="7">
        <f t="shared" si="2"/>
        <v>165000</v>
      </c>
      <c r="I8" s="7">
        <f>SUM($H$6:H8)</f>
        <v>420000</v>
      </c>
    </row>
    <row r="9" spans="2:9" x14ac:dyDescent="0.3">
      <c r="B9" s="8" t="s">
        <v>7</v>
      </c>
      <c r="C9" s="9">
        <f t="shared" si="3"/>
        <v>7</v>
      </c>
      <c r="D9" s="9">
        <v>1</v>
      </c>
      <c r="E9" s="9">
        <v>0</v>
      </c>
      <c r="F9" s="9">
        <f t="shared" si="0"/>
        <v>8</v>
      </c>
      <c r="G9" s="10">
        <f t="shared" si="1"/>
        <v>23750</v>
      </c>
      <c r="H9" s="10">
        <f t="shared" si="2"/>
        <v>190000</v>
      </c>
      <c r="I9" s="10">
        <f>SUM($H$6:H9)</f>
        <v>610000</v>
      </c>
    </row>
    <row r="10" spans="2:9" x14ac:dyDescent="0.3">
      <c r="B10" s="5" t="s">
        <v>8</v>
      </c>
      <c r="C10" s="6">
        <f t="shared" si="3"/>
        <v>8</v>
      </c>
      <c r="D10" s="6">
        <v>1</v>
      </c>
      <c r="E10" s="6">
        <v>0</v>
      </c>
      <c r="F10" s="6">
        <f t="shared" si="0"/>
        <v>9</v>
      </c>
      <c r="G10" s="7">
        <f t="shared" si="1"/>
        <v>23888.888888888891</v>
      </c>
      <c r="H10" s="7">
        <f t="shared" si="2"/>
        <v>215000</v>
      </c>
      <c r="I10" s="7">
        <f>SUM($H$6:H10)</f>
        <v>825000</v>
      </c>
    </row>
    <row r="11" spans="2:9" x14ac:dyDescent="0.3">
      <c r="B11" s="8" t="s">
        <v>9</v>
      </c>
      <c r="C11" s="9">
        <f t="shared" si="3"/>
        <v>9</v>
      </c>
      <c r="D11" s="9">
        <v>1</v>
      </c>
      <c r="E11" s="9">
        <v>1</v>
      </c>
      <c r="F11" s="9">
        <f t="shared" si="0"/>
        <v>9</v>
      </c>
      <c r="G11" s="10">
        <f t="shared" si="1"/>
        <v>23888.888888888891</v>
      </c>
      <c r="H11" s="10">
        <f t="shared" si="2"/>
        <v>215000</v>
      </c>
      <c r="I11" s="10">
        <f>SUM($H$6:H11)</f>
        <v>1040000</v>
      </c>
    </row>
    <row r="12" spans="2:9" x14ac:dyDescent="0.3">
      <c r="B12" s="5" t="s">
        <v>10</v>
      </c>
      <c r="C12" s="6">
        <f t="shared" si="3"/>
        <v>9</v>
      </c>
      <c r="D12" s="6">
        <v>1</v>
      </c>
      <c r="E12" s="6">
        <v>0</v>
      </c>
      <c r="F12" s="6">
        <f t="shared" si="0"/>
        <v>10</v>
      </c>
      <c r="G12" s="7">
        <f t="shared" si="1"/>
        <v>24000</v>
      </c>
      <c r="H12" s="7">
        <f t="shared" si="2"/>
        <v>240000</v>
      </c>
      <c r="I12" s="7">
        <f>SUM($H$6:H12)</f>
        <v>1280000</v>
      </c>
    </row>
    <row r="13" spans="2:9" x14ac:dyDescent="0.3">
      <c r="B13" s="8" t="s">
        <v>11</v>
      </c>
      <c r="C13" s="9">
        <f t="shared" si="3"/>
        <v>10</v>
      </c>
      <c r="D13" s="9">
        <v>1</v>
      </c>
      <c r="E13" s="9">
        <v>0</v>
      </c>
      <c r="F13" s="9">
        <f t="shared" si="0"/>
        <v>11</v>
      </c>
      <c r="G13" s="10">
        <f t="shared" si="1"/>
        <v>24090.909090909092</v>
      </c>
      <c r="H13" s="10">
        <f t="shared" si="2"/>
        <v>265000</v>
      </c>
      <c r="I13" s="10">
        <f>SUM($H$6:H13)</f>
        <v>1545000</v>
      </c>
    </row>
    <row r="14" spans="2:9" x14ac:dyDescent="0.3">
      <c r="B14" s="5" t="s">
        <v>12</v>
      </c>
      <c r="C14" s="6">
        <f t="shared" si="3"/>
        <v>11</v>
      </c>
      <c r="D14" s="6">
        <v>1</v>
      </c>
      <c r="E14" s="6">
        <v>0</v>
      </c>
      <c r="F14" s="6">
        <f t="shared" si="0"/>
        <v>12</v>
      </c>
      <c r="G14" s="7">
        <f t="shared" si="1"/>
        <v>24166.666666666668</v>
      </c>
      <c r="H14" s="7">
        <f t="shared" si="2"/>
        <v>290000</v>
      </c>
      <c r="I14" s="7">
        <f>SUM($H$6:H14)</f>
        <v>1835000</v>
      </c>
    </row>
    <row r="15" spans="2:9" x14ac:dyDescent="0.3">
      <c r="B15" s="8" t="s">
        <v>13</v>
      </c>
      <c r="C15" s="9">
        <f t="shared" si="3"/>
        <v>12</v>
      </c>
      <c r="D15" s="9">
        <v>1</v>
      </c>
      <c r="E15" s="9">
        <v>1</v>
      </c>
      <c r="F15" s="9">
        <f t="shared" si="0"/>
        <v>12</v>
      </c>
      <c r="G15" s="10">
        <f t="shared" si="1"/>
        <v>24166.666666666668</v>
      </c>
      <c r="H15" s="10">
        <f t="shared" si="2"/>
        <v>290000</v>
      </c>
      <c r="I15" s="10">
        <f>SUM($H$6:H15)</f>
        <v>2125000</v>
      </c>
    </row>
    <row r="16" spans="2:9" x14ac:dyDescent="0.3">
      <c r="B16" s="5" t="s">
        <v>14</v>
      </c>
      <c r="C16" s="6">
        <f t="shared" si="3"/>
        <v>12</v>
      </c>
      <c r="D16" s="6">
        <v>1</v>
      </c>
      <c r="E16" s="6">
        <v>0</v>
      </c>
      <c r="F16" s="6">
        <f t="shared" si="0"/>
        <v>13</v>
      </c>
      <c r="G16" s="7">
        <f t="shared" si="1"/>
        <v>24230.76923076923</v>
      </c>
      <c r="H16" s="7">
        <f t="shared" si="2"/>
        <v>315000</v>
      </c>
      <c r="I16" s="7">
        <f>SUM($H$6:H16)</f>
        <v>2440000</v>
      </c>
    </row>
    <row r="17" spans="2:9" x14ac:dyDescent="0.3">
      <c r="B17" s="8" t="s">
        <v>15</v>
      </c>
      <c r="C17" s="9">
        <f t="shared" si="3"/>
        <v>13</v>
      </c>
      <c r="D17" s="9">
        <v>1</v>
      </c>
      <c r="E17" s="9">
        <v>0</v>
      </c>
      <c r="F17" s="9">
        <f t="shared" si="0"/>
        <v>14</v>
      </c>
      <c r="G17" s="10">
        <f t="shared" si="1"/>
        <v>24285.714285714286</v>
      </c>
      <c r="H17" s="10">
        <f t="shared" si="2"/>
        <v>340000</v>
      </c>
      <c r="I17" s="10">
        <f>SUM($H$6:H17)</f>
        <v>2780000</v>
      </c>
    </row>
    <row r="18" spans="2:9" x14ac:dyDescent="0.3">
      <c r="B18" s="11" t="s">
        <v>78</v>
      </c>
      <c r="C18" s="12">
        <f>C6</f>
        <v>0</v>
      </c>
      <c r="D18" s="13">
        <f>SUM(D6:D17)</f>
        <v>16</v>
      </c>
      <c r="E18" s="13">
        <f>SUM(E6:E17)</f>
        <v>2</v>
      </c>
      <c r="F18" s="13">
        <f>F17</f>
        <v>14</v>
      </c>
      <c r="G18" s="14">
        <f>IFERROR(H18/SUM(F6:F17),0)</f>
        <v>23965.517241379312</v>
      </c>
      <c r="H18" s="15">
        <f>SUM(H6:H17)</f>
        <v>2780000</v>
      </c>
      <c r="I18" s="15">
        <f>I17</f>
        <v>2780000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47"/>
  <sheetViews>
    <sheetView topLeftCell="A43" workbookViewId="0">
      <selection activeCell="D12" sqref="B5:D12"/>
    </sheetView>
  </sheetViews>
  <sheetFormatPr baseColWidth="10" defaultColWidth="8.88671875" defaultRowHeight="14.4" x14ac:dyDescent="0.3"/>
  <cols>
    <col min="1" max="1" width="12" customWidth="1"/>
    <col min="2" max="2" width="32" customWidth="1"/>
    <col min="3" max="3" width="60" customWidth="1"/>
    <col min="4" max="6" width="24" customWidth="1"/>
  </cols>
  <sheetData>
    <row r="2" spans="2:4" ht="21" customHeight="1" x14ac:dyDescent="0.4">
      <c r="B2" s="1" t="s">
        <v>79</v>
      </c>
    </row>
    <row r="3" spans="2:4" x14ac:dyDescent="0.3">
      <c r="B3" s="2" t="s">
        <v>80</v>
      </c>
    </row>
    <row r="5" spans="2:4" ht="17.399999999999999" customHeight="1" x14ac:dyDescent="0.35">
      <c r="B5" s="3" t="s">
        <v>81</v>
      </c>
    </row>
    <row r="6" spans="2:4" x14ac:dyDescent="0.3">
      <c r="B6" s="16" t="s">
        <v>82</v>
      </c>
      <c r="C6" s="16" t="s">
        <v>83</v>
      </c>
      <c r="D6" s="17" t="s">
        <v>84</v>
      </c>
    </row>
    <row r="7" spans="2:4" x14ac:dyDescent="0.3">
      <c r="B7" s="18" t="s">
        <v>85</v>
      </c>
      <c r="C7" s="18" t="s">
        <v>86</v>
      </c>
      <c r="D7" s="7">
        <f>24*(496838.17/30/8)</f>
        <v>49683.817000000003</v>
      </c>
    </row>
    <row r="8" spans="2:4" x14ac:dyDescent="0.3">
      <c r="B8" s="18" t="s">
        <v>87</v>
      </c>
      <c r="C8" s="18" t="s">
        <v>88</v>
      </c>
      <c r="D8" s="7">
        <f>24*(496838.17/30/8)</f>
        <v>49683.817000000003</v>
      </c>
    </row>
    <row r="9" spans="2:4" x14ac:dyDescent="0.3">
      <c r="B9" s="18" t="s">
        <v>89</v>
      </c>
      <c r="C9" s="18" t="s">
        <v>90</v>
      </c>
      <c r="D9" s="7">
        <f>20*(496838.17/30/8)</f>
        <v>41403.180833333332</v>
      </c>
    </row>
    <row r="10" spans="2:4" x14ac:dyDescent="0.3">
      <c r="B10" s="18" t="s">
        <v>91</v>
      </c>
      <c r="C10" s="18" t="s">
        <v>92</v>
      </c>
      <c r="D10" s="7">
        <f>12*(496838.17/30/8)</f>
        <v>24841.908500000001</v>
      </c>
    </row>
    <row r="11" spans="2:4" x14ac:dyDescent="0.3">
      <c r="B11" s="18" t="s">
        <v>93</v>
      </c>
      <c r="C11" s="18" t="s">
        <v>94</v>
      </c>
      <c r="D11" s="7">
        <f>16*(496838.17/30/8)</f>
        <v>33122.544666666668</v>
      </c>
    </row>
    <row r="12" spans="2:4" x14ac:dyDescent="0.3">
      <c r="B12" s="11" t="s">
        <v>95</v>
      </c>
      <c r="C12" s="19"/>
      <c r="D12" s="15">
        <f>SUM(D7:D11)</f>
        <v>198735.26799999998</v>
      </c>
    </row>
    <row r="15" spans="2:4" ht="17.399999999999999" customHeight="1" x14ac:dyDescent="0.35">
      <c r="B15" s="3" t="s">
        <v>96</v>
      </c>
    </row>
    <row r="16" spans="2:4" x14ac:dyDescent="0.3">
      <c r="B16" s="16" t="s">
        <v>97</v>
      </c>
      <c r="C16" s="16" t="s">
        <v>98</v>
      </c>
      <c r="D16" s="17" t="s">
        <v>99</v>
      </c>
    </row>
    <row r="17" spans="2:5" x14ac:dyDescent="0.3">
      <c r="B17" s="18" t="s">
        <v>100</v>
      </c>
      <c r="C17" s="18" t="s">
        <v>101</v>
      </c>
      <c r="D17" s="7">
        <f>20*500+25*500+10*500+15/12*500+10*500+25*500+25*500</f>
        <v>58125</v>
      </c>
    </row>
    <row r="18" spans="2:5" x14ac:dyDescent="0.3">
      <c r="B18" s="18" t="s">
        <v>102</v>
      </c>
      <c r="C18" s="18" t="s">
        <v>103</v>
      </c>
      <c r="D18" s="7">
        <f>2*2*2000+4000</f>
        <v>12000</v>
      </c>
    </row>
    <row r="19" spans="2:5" x14ac:dyDescent="0.3">
      <c r="B19" s="18" t="s">
        <v>104</v>
      </c>
      <c r="C19" s="18" t="s">
        <v>105</v>
      </c>
      <c r="D19" s="7">
        <f>5000</f>
        <v>5000</v>
      </c>
    </row>
    <row r="20" spans="2:5" x14ac:dyDescent="0.3">
      <c r="B20" s="18" t="s">
        <v>106</v>
      </c>
      <c r="C20" s="18" t="s">
        <v>107</v>
      </c>
      <c r="D20" s="7">
        <f>(7+5)*500</f>
        <v>6000</v>
      </c>
    </row>
    <row r="21" spans="2:5" x14ac:dyDescent="0.3">
      <c r="B21" s="29" t="s">
        <v>108</v>
      </c>
      <c r="C21" s="29" t="s">
        <v>109</v>
      </c>
      <c r="D21" s="43">
        <f>(4+2*3*2)*(496838.17/30/8)</f>
        <v>33122.544666666668</v>
      </c>
      <c r="E21" t="s">
        <v>110</v>
      </c>
    </row>
    <row r="22" spans="2:5" x14ac:dyDescent="0.3">
      <c r="B22" s="11" t="s">
        <v>111</v>
      </c>
      <c r="C22" s="19"/>
      <c r="D22" s="15">
        <f>SUM(D17:D21)</f>
        <v>114247.54466666667</v>
      </c>
    </row>
    <row r="25" spans="2:5" ht="17.399999999999999" customHeight="1" x14ac:dyDescent="0.35">
      <c r="B25" s="3" t="s">
        <v>112</v>
      </c>
    </row>
    <row r="26" spans="2:5" x14ac:dyDescent="0.3">
      <c r="B26" s="16" t="s">
        <v>113</v>
      </c>
      <c r="C26" s="16" t="s">
        <v>114</v>
      </c>
      <c r="D26" s="17" t="s">
        <v>115</v>
      </c>
    </row>
    <row r="27" spans="2:5" x14ac:dyDescent="0.3">
      <c r="B27" s="18" t="s">
        <v>116</v>
      </c>
      <c r="C27" s="18" t="s">
        <v>117</v>
      </c>
      <c r="D27" s="7">
        <f>0.5*(496838.17/30/8)</f>
        <v>1035.0795208333334</v>
      </c>
    </row>
    <row r="28" spans="2:5" x14ac:dyDescent="0.3">
      <c r="B28" s="18" t="s">
        <v>118</v>
      </c>
      <c r="C28" s="18" t="s">
        <v>119</v>
      </c>
      <c r="D28" s="7">
        <f>(ROUND((((80*2+20)*0.16/1000+(80*2+20)*32/1000000*0.12)*500),2)+80*2*(4000*0.4+300*1.6)/1000000*500+MAX(0,'Clientes e Ingresos'!F6-1)*(ROUND((((200*2+20)*0.16/1000+(200*2+20)*32/1000000*0.12)*500),2)+200*2*(4000*0.4+300*1.6)/1000000*500))/'Clientes e Ingresos'!F6</f>
        <v>396.55799999999999</v>
      </c>
    </row>
    <row r="29" spans="2:5" x14ac:dyDescent="0.3">
      <c r="B29" s="18" t="s">
        <v>120</v>
      </c>
      <c r="C29" s="18" t="s">
        <v>121</v>
      </c>
      <c r="D29" s="7">
        <f>0</f>
        <v>0</v>
      </c>
    </row>
    <row r="30" spans="2:5" x14ac:dyDescent="0.3">
      <c r="B30" s="11" t="s">
        <v>122</v>
      </c>
      <c r="C30" s="19"/>
      <c r="D30" s="15">
        <f>SUM(D27:D29)</f>
        <v>1431.6375208333334</v>
      </c>
      <c r="E30" t="s">
        <v>123</v>
      </c>
    </row>
    <row r="33" spans="2:6" ht="17.399999999999999" customHeight="1" x14ac:dyDescent="0.35">
      <c r="B33" s="3" t="s">
        <v>124</v>
      </c>
    </row>
    <row r="34" spans="2:6" x14ac:dyDescent="0.3">
      <c r="B34" s="4" t="s">
        <v>70</v>
      </c>
      <c r="C34" s="4" t="s">
        <v>125</v>
      </c>
      <c r="D34" s="17" t="s">
        <v>126</v>
      </c>
      <c r="E34" s="17" t="s">
        <v>127</v>
      </c>
      <c r="F34" s="17" t="s">
        <v>128</v>
      </c>
    </row>
    <row r="35" spans="2:6" x14ac:dyDescent="0.3">
      <c r="B35" s="5" t="s">
        <v>4</v>
      </c>
      <c r="C35" s="6">
        <f>'Clientes e Ingresos'!F6</f>
        <v>5</v>
      </c>
      <c r="D35" s="7">
        <f>$D$22+(3*2*2000+2*4000+8000+2*2*3000-$D$18)+(6*3*2-2*3*2)*(496838.17/30/8)</f>
        <v>191931.36166666666</v>
      </c>
      <c r="E35" s="7">
        <f>C35*$D$27+(ROUND((((80*2+20)*0.16/1000+(80*2+20)*32/1000000*0.12)*500),2)+80*2*(4000*0.4+300*1.6)/1000000*500+MAX(0,C35-1)*(ROUND((((200*2+20)*0.16/1000+(200*2+20)*32/1000000*0.12)*500),2)+200*2*(4000*0.4+300*1.6)/1000000*500))+C35*$D$29+'Clientes e Ingresos'!D6*(8*(496838.17/30/8))+(ROUND((MAX(0,((1)*1+(MAX(0,C35-1))*3+(0)*8+(0)*16)-100)*0.0213+MAX(0,((1)*1.056+(MAX(0,C35-1))*2.63999999999999+(0)*6.6+(0)*13.2)-250)*0.09+(MAX(0,ROUNDUP((((1)*0.06+(MAX(0,C35-1))*0.15)+((0)*0.375+(0)*0.75)*0.05)*2,0)-8)+((1)*0+(MAX(0,C35-1))*0+(0)*0+(0)*0))*0.125+IF(((1)*80+(MAX(0,C35-1))*200)&lt;=2000,10,IF(((1)*80+(MAX(0,C35-1))*200)&lt;=5000,15,IF(((1)*80+(MAX(0,C35-1))*200)&lt;=10000,60,110)))-10)*500,2)+ROUND((MAX(0,((1)*0.166864+(MAX(0,C35-1))*0.41716+(0)*1.0429+(0)*2.0858)+20*2*2*0.0035+30*(1/3600*0.128+5/3600*0.0106)-20)+IF(AND(((1)*55680+(MAX(0,C35-1))*139200+(0)*348000+(0)*696000)&lt;=1000000,((1)*1.536+(MAX(0,C35-1))*3.84+(0)*9.6+(0)*19.2)&lt;=1000),0,IF(((1)*55680+(MAX(0,C35-1))*139200+(0)*348000+(0)*696000)&lt;=10000000,20,IF(((1)*55680+(MAX(0,C35-1))*139200+(0)*348000+(0)*696000)&lt;=50000000,100,300)))+MAX(0,ROUNDUP(((1)*80+(MAX(0,C35-1))*200+(0)*500+(0)*1000)/5000,0)-1)*25+IF(((1)*80+(MAX(0,C35-1))*200+(0)*500+(0)*1000)&gt;5000,32-10,0))*500,2))</f>
        <v>89964.549270833333</v>
      </c>
      <c r="F35" s="7">
        <f t="shared" ref="F35:F46" si="0">D35+E35</f>
        <v>281895.91093750001</v>
      </c>
    </row>
    <row r="36" spans="2:6" x14ac:dyDescent="0.3">
      <c r="B36" s="8" t="s">
        <v>5</v>
      </c>
      <c r="C36" s="9">
        <f>'Clientes e Ingresos'!F7</f>
        <v>6</v>
      </c>
      <c r="D36" s="10">
        <f t="shared" ref="D36:D46" si="1">$D$22</f>
        <v>114247.54466666667</v>
      </c>
      <c r="E36" s="10">
        <f>C36*$D$27+(ROUND((((80*2+20)*0.16/1000+(80*2+20)*32/1000000*0.12)*500),2)+80*2*(4000*0.4+300*1.6)/1000000*500+MAX(0,C36-1)*(ROUND((((200*2+20)*0.16/1000+(200*2+20)*32/1000000*0.12)*500),2)+200*2*(4000*0.4+300*1.6)/1000000*500))+C36*$D$29+'Clientes e Ingresos'!D7*(8*(496838.17/30/8))+(ROUND((MAX(0,((1)*1+(MAX(0,C36-1))*3+(0)*8+(0)*16)-100)*0.0213+MAX(0,((1)*1.056+(MAX(0,C36-1))*2.63999999999999+(0)*6.6+(0)*13.2)-250)*0.09+(MAX(0,ROUNDUP((((1)*0.06+(MAX(0,C36-1))*0.15)+((0)*0.375+(0)*0.75)*0.05)*2,0)-8)+((1)*0+(MAX(0,C36-1))*0+(0)*0+(0)*0))*0.125+IF(((1)*80+(MAX(0,C36-1))*200)&lt;=2000,10,IF(((1)*80+(MAX(0,C36-1))*200)&lt;=5000,15,IF(((1)*80+(MAX(0,C36-1))*200)&lt;=10000,60,110)))-10)*500,2)+ROUND((MAX(0,((1)*0.166864+(MAX(0,C36-1))*0.41716+(0)*1.0429+(0)*2.0858)+20*2*2*0.0035+30*(1/3600*0.128+5/3600*0.0106)-20)+IF(AND(((1)*55680+(MAX(0,C36-1))*139200+(0)*348000+(0)*696000)&lt;=1000000,((1)*1.536+(MAX(0,C36-1))*3.84+(0)*9.6+(0)*19.2)&lt;=1000),0,IF(((1)*55680+(MAX(0,C36-1))*139200+(0)*348000+(0)*696000)&lt;=10000000,20,IF(((1)*55680+(MAX(0,C36-1))*139200+(0)*348000+(0)*696000)&lt;=50000000,100,300)))+MAX(0,ROUNDUP(((1)*80+(MAX(0,C36-1))*200+(0)*500+(0)*1000)/5000,0)-1)*25+IF(((1)*80+(MAX(0,C36-1))*200+(0)*500+(0)*1000)&gt;5000,32-10,0))*500,2))</f>
        <v>25204.949458333336</v>
      </c>
      <c r="F36" s="10">
        <f t="shared" si="0"/>
        <v>139452.494125</v>
      </c>
    </row>
    <row r="37" spans="2:6" x14ac:dyDescent="0.3">
      <c r="B37" s="5" t="s">
        <v>6</v>
      </c>
      <c r="C37" s="6">
        <f>'Clientes e Ingresos'!F8</f>
        <v>7</v>
      </c>
      <c r="D37" s="7">
        <f t="shared" si="1"/>
        <v>114247.54466666667</v>
      </c>
      <c r="E37" s="7">
        <f>C37*$D$27+(ROUND((((80*2+20)*0.16/1000+(80*2+20)*32/1000000*0.12)*500),2)+80*2*(4000*0.4+300*1.6)/1000000*500+MAX(0,C37-1)*(ROUND((((200*2+20)*0.16/1000+(200*2+20)*32/1000000*0.12)*500),2)+200*2*(4000*0.4+300*1.6)/1000000*500))+C37*$D$29+'Clientes e Ingresos'!D8*(8*(496838.17/30/8))+(ROUND((MAX(0,((1)*1+(MAX(0,C37-1))*3+(0)*8+(0)*16)-100)*0.0213+MAX(0,((1)*1.056+(MAX(0,C37-1))*2.63999999999999+(0)*6.6+(0)*13.2)-250)*0.09+(MAX(0,ROUNDUP((((1)*0.06+(MAX(0,C37-1))*0.15)+((0)*0.375+(0)*0.75)*0.05)*2,0)-8)+((1)*0+(MAX(0,C37-1))*0+(0)*0+(0)*0))*0.125+IF(((1)*80+(MAX(0,C37-1))*200)&lt;=2000,10,IF(((1)*80+(MAX(0,C37-1))*200)&lt;=5000,15,IF(((1)*80+(MAX(0,C37-1))*200)&lt;=10000,60,110)))-10)*500,2)+ROUND((MAX(0,((1)*0.166864+(MAX(0,C37-1))*0.41716+(0)*1.0429+(0)*2.0858)+20*2*2*0.0035+30*(1/3600*0.128+5/3600*0.0106)-20)+IF(AND(((1)*55680+(MAX(0,C37-1))*139200+(0)*348000+(0)*696000)&lt;=1000000,((1)*1.536+(MAX(0,C37-1))*3.84+(0)*9.6+(0)*19.2)&lt;=1000),0,IF(((1)*55680+(MAX(0,C37-1))*139200+(0)*348000+(0)*696000)&lt;=10000000,20,IF(((1)*55680+(MAX(0,C37-1))*139200+(0)*348000+(0)*696000)&lt;=50000000,100,300)))+MAX(0,ROUNDUP(((1)*80+(MAX(0,C37-1))*200+(0)*500+(0)*1000)/5000,0)-1)*25+IF(((1)*80+(MAX(0,C37-1))*200+(0)*500+(0)*1000)&gt;5000,32-10,0))*500,2))</f>
        <v>26690.438979166669</v>
      </c>
      <c r="F37" s="7">
        <f t="shared" si="0"/>
        <v>140937.98364583333</v>
      </c>
    </row>
    <row r="38" spans="2:6" x14ac:dyDescent="0.3">
      <c r="B38" s="8" t="s">
        <v>7</v>
      </c>
      <c r="C38" s="9">
        <f>'Clientes e Ingresos'!F9</f>
        <v>8</v>
      </c>
      <c r="D38" s="10">
        <f t="shared" si="1"/>
        <v>114247.54466666667</v>
      </c>
      <c r="E38" s="10">
        <f>C38*$D$27+(ROUND((((80*2+20)*0.16/1000+(80*2+20)*32/1000000*0.12)*500),2)+80*2*(4000*0.4+300*1.6)/1000000*500+MAX(0,C38-1)*(ROUND((((200*2+20)*0.16/1000+(200*2+20)*32/1000000*0.12)*500),2)+200*2*(4000*0.4+300*1.6)/1000000*500))+C38*$D$29+'Clientes e Ingresos'!D9*(8*(496838.17/30/8))+(ROUND((MAX(0,((1)*1+(MAX(0,C38-1))*3+(0)*8+(0)*16)-100)*0.0213+MAX(0,((1)*1.056+(MAX(0,C38-1))*2.63999999999999+(0)*6.6+(0)*13.2)-250)*0.09+(MAX(0,ROUNDUP((((1)*0.06+(MAX(0,C38-1))*0.15)+((0)*0.375+(0)*0.75)*0.05)*2,0)-8)+((1)*0+(MAX(0,C38-1))*0+(0)*0+(0)*0))*0.125+IF(((1)*80+(MAX(0,C38-1))*200)&lt;=2000,10,IF(((1)*80+(MAX(0,C38-1))*200)&lt;=5000,15,IF(((1)*80+(MAX(0,C38-1))*200)&lt;=10000,60,110)))-10)*500,2)+ROUND((MAX(0,((1)*0.166864+(MAX(0,C38-1))*0.41716+(0)*1.0429+(0)*2.0858)+20*2*2*0.0035+30*(1/3600*0.128+5/3600*0.0106)-20)+IF(AND(((1)*55680+(MAX(0,C38-1))*139200+(0)*348000+(0)*696000)&lt;=1000000,((1)*1.536+(MAX(0,C38-1))*3.84+(0)*9.6+(0)*19.2)&lt;=1000),0,IF(((1)*55680+(MAX(0,C38-1))*139200+(0)*348000+(0)*696000)&lt;=10000000,20,IF(((1)*55680+(MAX(0,C38-1))*139200+(0)*348000+(0)*696000)&lt;=50000000,100,300)))+MAX(0,ROUNDUP(((1)*80+(MAX(0,C38-1))*200+(0)*500+(0)*1000)/5000,0)-1)*25+IF(((1)*80+(MAX(0,C38-1))*200+(0)*500+(0)*1000)&gt;5000,32-10,0))*500,2))</f>
        <v>38175.928500000002</v>
      </c>
      <c r="F38" s="10">
        <f t="shared" si="0"/>
        <v>152423.47316666666</v>
      </c>
    </row>
    <row r="39" spans="2:6" x14ac:dyDescent="0.3">
      <c r="B39" s="5" t="s">
        <v>8</v>
      </c>
      <c r="C39" s="6">
        <f>'Clientes e Ingresos'!F10</f>
        <v>9</v>
      </c>
      <c r="D39" s="7">
        <f t="shared" si="1"/>
        <v>114247.54466666667</v>
      </c>
      <c r="E39" s="7">
        <f>C39*$D$27+(ROUND((((80*2+20)*0.16/1000+(80*2+20)*32/1000000*0.12)*500),2)+80*2*(4000*0.4+300*1.6)/1000000*500+MAX(0,C39-1)*(ROUND((((200*2+20)*0.16/1000+(200*2+20)*32/1000000*0.12)*500),2)+200*2*(4000*0.4+300*1.6)/1000000*500))+C39*$D$29+'Clientes e Ingresos'!D10*(8*(496838.17/30/8))+(ROUND((MAX(0,((1)*1+(MAX(0,C39-1))*3+(0)*8+(0)*16)-100)*0.0213+MAX(0,((1)*1.056+(MAX(0,C39-1))*2.63999999999999+(0)*6.6+(0)*13.2)-250)*0.09+(MAX(0,ROUNDUP((((1)*0.06+(MAX(0,C39-1))*0.15)+((0)*0.375+(0)*0.75)*0.05)*2,0)-8)+((1)*0+(MAX(0,C39-1))*0+(0)*0+(0)*0))*0.125+IF(((1)*80+(MAX(0,C39-1))*200)&lt;=2000,10,IF(((1)*80+(MAX(0,C39-1))*200)&lt;=5000,15,IF(((1)*80+(MAX(0,C39-1))*200)&lt;=10000,60,110)))-10)*500,2)+ROUND((MAX(0,((1)*0.166864+(MAX(0,C39-1))*0.41716+(0)*1.0429+(0)*2.0858)+20*2*2*0.0035+30*(1/3600*0.128+5/3600*0.0106)-20)+IF(AND(((1)*55680+(MAX(0,C39-1))*139200+(0)*348000+(0)*696000)&lt;=1000000,((1)*1.536+(MAX(0,C39-1))*3.84+(0)*9.6+(0)*19.2)&lt;=1000),0,IF(((1)*55680+(MAX(0,C39-1))*139200+(0)*348000+(0)*696000)&lt;=10000000,20,IF(((1)*55680+(MAX(0,C39-1))*139200+(0)*348000+(0)*696000)&lt;=50000000,100,300)))+MAX(0,ROUNDUP(((1)*80+(MAX(0,C39-1))*200+(0)*500+(0)*1000)/5000,0)-1)*25+IF(((1)*80+(MAX(0,C39-1))*200+(0)*500+(0)*1000)&gt;5000,32-10,0))*500,2))</f>
        <v>39661.418020833335</v>
      </c>
      <c r="F39" s="7">
        <f t="shared" si="0"/>
        <v>153908.9626875</v>
      </c>
    </row>
    <row r="40" spans="2:6" x14ac:dyDescent="0.3">
      <c r="B40" s="8" t="s">
        <v>9</v>
      </c>
      <c r="C40" s="9">
        <f>'Clientes e Ingresos'!F11</f>
        <v>9</v>
      </c>
      <c r="D40" s="10">
        <f t="shared" si="1"/>
        <v>114247.54466666667</v>
      </c>
      <c r="E40" s="10">
        <f>C40*$D$27+(ROUND((((80*2+20)*0.16/1000+(80*2+20)*32/1000000*0.12)*500),2)+80*2*(4000*0.4+300*1.6)/1000000*500+MAX(0,C40-1)*(ROUND((((200*2+20)*0.16/1000+(200*2+20)*32/1000000*0.12)*500),2)+200*2*(4000*0.4+300*1.6)/1000000*500))+C40*$D$29+'Clientes e Ingresos'!D11*(8*(496838.17/30/8))+(ROUND((MAX(0,((1)*1+(MAX(0,C40-1))*3+(0)*8+(0)*16)-100)*0.0213+MAX(0,((1)*1.056+(MAX(0,C40-1))*2.63999999999999+(0)*6.6+(0)*13.2)-250)*0.09+(MAX(0,ROUNDUP((((1)*0.06+(MAX(0,C40-1))*0.15)+((0)*0.375+(0)*0.75)*0.05)*2,0)-8)+((1)*0+(MAX(0,C40-1))*0+(0)*0+(0)*0))*0.125+IF(((1)*80+(MAX(0,C40-1))*200)&lt;=2000,10,IF(((1)*80+(MAX(0,C40-1))*200)&lt;=5000,15,IF(((1)*80+(MAX(0,C40-1))*200)&lt;=10000,60,110)))-10)*500,2)+ROUND((MAX(0,((1)*0.166864+(MAX(0,C40-1))*0.41716+(0)*1.0429+(0)*2.0858)+20*2*2*0.0035+30*(1/3600*0.128+5/3600*0.0106)-20)+IF(AND(((1)*55680+(MAX(0,C40-1))*139200+(0)*348000+(0)*696000)&lt;=1000000,((1)*1.536+(MAX(0,C40-1))*3.84+(0)*9.6+(0)*19.2)&lt;=1000),0,IF(((1)*55680+(MAX(0,C40-1))*139200+(0)*348000+(0)*696000)&lt;=10000000,20,IF(((1)*55680+(MAX(0,C40-1))*139200+(0)*348000+(0)*696000)&lt;=50000000,100,300)))+MAX(0,ROUNDUP(((1)*80+(MAX(0,C40-1))*200+(0)*500+(0)*1000)/5000,0)-1)*25+IF(((1)*80+(MAX(0,C40-1))*200+(0)*500+(0)*1000)&gt;5000,32-10,0))*500,2))</f>
        <v>39661.418020833335</v>
      </c>
      <c r="F40" s="10">
        <f t="shared" si="0"/>
        <v>153908.9626875</v>
      </c>
    </row>
    <row r="41" spans="2:6" x14ac:dyDescent="0.3">
      <c r="B41" s="5" t="s">
        <v>10</v>
      </c>
      <c r="C41" s="6">
        <f>'Clientes e Ingresos'!F12</f>
        <v>10</v>
      </c>
      <c r="D41" s="7">
        <f t="shared" si="1"/>
        <v>114247.54466666667</v>
      </c>
      <c r="E41" s="7">
        <f>C41*$D$27+(ROUND((((80*2+20)*0.16/1000+(80*2+20)*32/1000000*0.12)*500),2)+80*2*(4000*0.4+300*1.6)/1000000*500+MAX(0,C41-1)*(ROUND((((200*2+20)*0.16/1000+(200*2+20)*32/1000000*0.12)*500),2)+200*2*(4000*0.4+300*1.6)/1000000*500))+C41*$D$29+'Clientes e Ingresos'!D12*(8*(496838.17/30/8))+(ROUND((MAX(0,((1)*1+(MAX(0,C41-1))*3+(0)*8+(0)*16)-100)*0.0213+MAX(0,((1)*1.056+(MAX(0,C41-1))*2.63999999999999+(0)*6.6+(0)*13.2)-250)*0.09+(MAX(0,ROUNDUP((((1)*0.06+(MAX(0,C41-1))*0.15)+((0)*0.375+(0)*0.75)*0.05)*2,0)-8)+((1)*0+(MAX(0,C41-1))*0+(0)*0+(0)*0))*0.125+IF(((1)*80+(MAX(0,C41-1))*200)&lt;=2000,10,IF(((1)*80+(MAX(0,C41-1))*200)&lt;=5000,15,IF(((1)*80+(MAX(0,C41-1))*200)&lt;=10000,60,110)))-10)*500,2)+ROUND((MAX(0,((1)*0.166864+(MAX(0,C41-1))*0.41716+(0)*1.0429+(0)*2.0858)+20*2*2*0.0035+30*(1/3600*0.128+5/3600*0.0106)-20)+IF(AND(((1)*55680+(MAX(0,C41-1))*139200+(0)*348000+(0)*696000)&lt;=1000000,((1)*1.536+(MAX(0,C41-1))*3.84+(0)*9.6+(0)*19.2)&lt;=1000),0,IF(((1)*55680+(MAX(0,C41-1))*139200+(0)*348000+(0)*696000)&lt;=10000000,20,IF(((1)*55680+(MAX(0,C41-1))*139200+(0)*348000+(0)*696000)&lt;=50000000,100,300)))+MAX(0,ROUNDUP(((1)*80+(MAX(0,C41-1))*200+(0)*500+(0)*1000)/5000,0)-1)*25+IF(((1)*80+(MAX(0,C41-1))*200+(0)*500+(0)*1000)&gt;5000,32-10,0))*500,2))</f>
        <v>41146.907541666667</v>
      </c>
      <c r="F41" s="7">
        <f t="shared" si="0"/>
        <v>155394.45220833333</v>
      </c>
    </row>
    <row r="42" spans="2:6" x14ac:dyDescent="0.3">
      <c r="B42" s="8" t="s">
        <v>11</v>
      </c>
      <c r="C42" s="9">
        <f>'Clientes e Ingresos'!F13</f>
        <v>11</v>
      </c>
      <c r="D42" s="10">
        <f t="shared" si="1"/>
        <v>114247.54466666667</v>
      </c>
      <c r="E42" s="10">
        <f>C42*$D$27+(ROUND((((80*2+20)*0.16/1000+(80*2+20)*32/1000000*0.12)*500),2)+80*2*(4000*0.4+300*1.6)/1000000*500+MAX(0,C42-1)*(ROUND((((200*2+20)*0.16/1000+(200*2+20)*32/1000000*0.12)*500),2)+200*2*(4000*0.4+300*1.6)/1000000*500))+C42*$D$29+'Clientes e Ingresos'!D13*(8*(496838.17/30/8))+(ROUND((MAX(0,((1)*1+(MAX(0,C42-1))*3+(0)*8+(0)*16)-100)*0.0213+MAX(0,((1)*1.056+(MAX(0,C42-1))*2.63999999999999+(0)*6.6+(0)*13.2)-250)*0.09+(MAX(0,ROUNDUP((((1)*0.06+(MAX(0,C42-1))*0.15)+((0)*0.375+(0)*0.75)*0.05)*2,0)-8)+((1)*0+(MAX(0,C42-1))*0+(0)*0+(0)*0))*0.125+IF(((1)*80+(MAX(0,C42-1))*200)&lt;=2000,10,IF(((1)*80+(MAX(0,C42-1))*200)&lt;=5000,15,IF(((1)*80+(MAX(0,C42-1))*200)&lt;=10000,60,110)))-10)*500,2)+ROUND((MAX(0,((1)*0.166864+(MAX(0,C42-1))*0.41716+(0)*1.0429+(0)*2.0858)+20*2*2*0.0035+30*(1/3600*0.128+5/3600*0.0106)-20)+IF(AND(((1)*55680+(MAX(0,C42-1))*139200+(0)*348000+(0)*696000)&lt;=1000000,((1)*1.536+(MAX(0,C42-1))*3.84+(0)*9.6+(0)*19.2)&lt;=1000),0,IF(((1)*55680+(MAX(0,C42-1))*139200+(0)*348000+(0)*696000)&lt;=10000000,20,IF(((1)*55680+(MAX(0,C42-1))*139200+(0)*348000+(0)*696000)&lt;=50000000,100,300)))+MAX(0,ROUNDUP(((1)*80+(MAX(0,C42-1))*200+(0)*500+(0)*1000)/5000,0)-1)*25+IF(((1)*80+(MAX(0,C42-1))*200+(0)*500+(0)*1000)&gt;5000,32-10,0))*500,2))</f>
        <v>45132.3970625</v>
      </c>
      <c r="F42" s="10">
        <f t="shared" si="0"/>
        <v>159379.94172916666</v>
      </c>
    </row>
    <row r="43" spans="2:6" x14ac:dyDescent="0.3">
      <c r="B43" s="5" t="s">
        <v>12</v>
      </c>
      <c r="C43" s="6">
        <f>'Clientes e Ingresos'!F14</f>
        <v>12</v>
      </c>
      <c r="D43" s="7">
        <f t="shared" si="1"/>
        <v>114247.54466666667</v>
      </c>
      <c r="E43" s="7">
        <f>C43*$D$27+(ROUND((((80*2+20)*0.16/1000+(80*2+20)*32/1000000*0.12)*500),2)+80*2*(4000*0.4+300*1.6)/1000000*500+MAX(0,C43-1)*(ROUND((((200*2+20)*0.16/1000+(200*2+20)*32/1000000*0.12)*500),2)+200*2*(4000*0.4+300*1.6)/1000000*500))+C43*$D$29+'Clientes e Ingresos'!D14*(8*(496838.17/30/8))+(ROUND((MAX(0,((1)*1+(MAX(0,C43-1))*3+(0)*8+(0)*16)-100)*0.0213+MAX(0,((1)*1.056+(MAX(0,C43-1))*2.63999999999999+(0)*6.6+(0)*13.2)-250)*0.09+(MAX(0,ROUNDUP((((1)*0.06+(MAX(0,C43-1))*0.15)+((0)*0.375+(0)*0.75)*0.05)*2,0)-8)+((1)*0+(MAX(0,C43-1))*0+(0)*0+(0)*0))*0.125+IF(((1)*80+(MAX(0,C43-1))*200)&lt;=2000,10,IF(((1)*80+(MAX(0,C43-1))*200)&lt;=5000,15,IF(((1)*80+(MAX(0,C43-1))*200)&lt;=10000,60,110)))-10)*500,2)+ROUND((MAX(0,((1)*0.166864+(MAX(0,C43-1))*0.41716+(0)*1.0429+(0)*2.0858)+20*2*2*0.0035+30*(1/3600*0.128+5/3600*0.0106)-20)+IF(AND(((1)*55680+(MAX(0,C43-1))*139200+(0)*348000+(0)*696000)&lt;=1000000,((1)*1.536+(MAX(0,C43-1))*3.84+(0)*9.6+(0)*19.2)&lt;=1000),0,IF(((1)*55680+(MAX(0,C43-1))*139200+(0)*348000+(0)*696000)&lt;=10000000,20,IF(((1)*55680+(MAX(0,C43-1))*139200+(0)*348000+(0)*696000)&lt;=50000000,100,300)))+MAX(0,ROUNDUP(((1)*80+(MAX(0,C43-1))*200+(0)*500+(0)*1000)/5000,0)-1)*25+IF(((1)*80+(MAX(0,C43-1))*200+(0)*500+(0)*1000)&gt;5000,32-10,0))*500,2))</f>
        <v>46617.886583333333</v>
      </c>
      <c r="F43" s="7">
        <f t="shared" si="0"/>
        <v>160865.43124999999</v>
      </c>
    </row>
    <row r="44" spans="2:6" x14ac:dyDescent="0.3">
      <c r="B44" s="8" t="s">
        <v>13</v>
      </c>
      <c r="C44" s="9">
        <f>'Clientes e Ingresos'!F15</f>
        <v>12</v>
      </c>
      <c r="D44" s="10">
        <f t="shared" si="1"/>
        <v>114247.54466666667</v>
      </c>
      <c r="E44" s="10">
        <f>C44*$D$27+(ROUND((((80*2+20)*0.16/1000+(80*2+20)*32/1000000*0.12)*500),2)+80*2*(4000*0.4+300*1.6)/1000000*500+MAX(0,C44-1)*(ROUND((((200*2+20)*0.16/1000+(200*2+20)*32/1000000*0.12)*500),2)+200*2*(4000*0.4+300*1.6)/1000000*500))+C44*$D$29+'Clientes e Ingresos'!D15*(8*(496838.17/30/8))+(ROUND((MAX(0,((1)*1+(MAX(0,C44-1))*3+(0)*8+(0)*16)-100)*0.0213+MAX(0,((1)*1.056+(MAX(0,C44-1))*2.63999999999999+(0)*6.6+(0)*13.2)-250)*0.09+(MAX(0,ROUNDUP((((1)*0.06+(MAX(0,C44-1))*0.15)+((0)*0.375+(0)*0.75)*0.05)*2,0)-8)+((1)*0+(MAX(0,C44-1))*0+(0)*0+(0)*0))*0.125+IF(((1)*80+(MAX(0,C44-1))*200)&lt;=2000,10,IF(((1)*80+(MAX(0,C44-1))*200)&lt;=5000,15,IF(((1)*80+(MAX(0,C44-1))*200)&lt;=10000,60,110)))-10)*500,2)+ROUND((MAX(0,((1)*0.166864+(MAX(0,C44-1))*0.41716+(0)*1.0429+(0)*2.0858)+20*2*2*0.0035+30*(1/3600*0.128+5/3600*0.0106)-20)+IF(AND(((1)*55680+(MAX(0,C44-1))*139200+(0)*348000+(0)*696000)&lt;=1000000,((1)*1.536+(MAX(0,C44-1))*3.84+(0)*9.6+(0)*19.2)&lt;=1000),0,IF(((1)*55680+(MAX(0,C44-1))*139200+(0)*348000+(0)*696000)&lt;=10000000,20,IF(((1)*55680+(MAX(0,C44-1))*139200+(0)*348000+(0)*696000)&lt;=50000000,100,300)))+MAX(0,ROUNDUP(((1)*80+(MAX(0,C44-1))*200+(0)*500+(0)*1000)/5000,0)-1)*25+IF(((1)*80+(MAX(0,C44-1))*200+(0)*500+(0)*1000)&gt;5000,32-10,0))*500,2))</f>
        <v>46617.886583333333</v>
      </c>
      <c r="F44" s="10">
        <f t="shared" si="0"/>
        <v>160865.43124999999</v>
      </c>
    </row>
    <row r="45" spans="2:6" x14ac:dyDescent="0.3">
      <c r="B45" s="5" t="s">
        <v>14</v>
      </c>
      <c r="C45" s="6">
        <f>'Clientes e Ingresos'!F16</f>
        <v>13</v>
      </c>
      <c r="D45" s="7">
        <f t="shared" si="1"/>
        <v>114247.54466666667</v>
      </c>
      <c r="E45" s="7">
        <f>C45*$D$27+(ROUND((((80*2+20)*0.16/1000+(80*2+20)*32/1000000*0.12)*500),2)+80*2*(4000*0.4+300*1.6)/1000000*500+MAX(0,C45-1)*(ROUND((((200*2+20)*0.16/1000+(200*2+20)*32/1000000*0.12)*500),2)+200*2*(4000*0.4+300*1.6)/1000000*500))+C45*$D$29+'Clientes e Ingresos'!D16*(8*(496838.17/30/8))+(ROUND((MAX(0,((1)*1+(MAX(0,C45-1))*3+(0)*8+(0)*16)-100)*0.0213+MAX(0,((1)*1.056+(MAX(0,C45-1))*2.63999999999999+(0)*6.6+(0)*13.2)-250)*0.09+(MAX(0,ROUNDUP((((1)*0.06+(MAX(0,C45-1))*0.15)+((0)*0.375+(0)*0.75)*0.05)*2,0)-8)+((1)*0+(MAX(0,C45-1))*0+(0)*0+(0)*0))*0.125+IF(((1)*80+(MAX(0,C45-1))*200)&lt;=2000,10,IF(((1)*80+(MAX(0,C45-1))*200)&lt;=5000,15,IF(((1)*80+(MAX(0,C45-1))*200)&lt;=10000,60,110)))-10)*500,2)+ROUND((MAX(0,((1)*0.166864+(MAX(0,C45-1))*0.41716+(0)*1.0429+(0)*2.0858)+20*2*2*0.0035+30*(1/3600*0.128+5/3600*0.0106)-20)+IF(AND(((1)*55680+(MAX(0,C45-1))*139200+(0)*348000+(0)*696000)&lt;=1000000,((1)*1.536+(MAX(0,C45-1))*3.84+(0)*9.6+(0)*19.2)&lt;=1000),0,IF(((1)*55680+(MAX(0,C45-1))*139200+(0)*348000+(0)*696000)&lt;=10000000,20,IF(((1)*55680+(MAX(0,C45-1))*139200+(0)*348000+(0)*696000)&lt;=50000000,100,300)))+MAX(0,ROUNDUP(((1)*80+(MAX(0,C45-1))*200+(0)*500+(0)*1000)/5000,0)-1)*25+IF(((1)*80+(MAX(0,C45-1))*200+(0)*500+(0)*1000)&gt;5000,32-10,0))*500,2))</f>
        <v>48103.376104166666</v>
      </c>
      <c r="F45" s="7">
        <f t="shared" si="0"/>
        <v>162350.92077083333</v>
      </c>
    </row>
    <row r="46" spans="2:6" x14ac:dyDescent="0.3">
      <c r="B46" s="8" t="s">
        <v>15</v>
      </c>
      <c r="C46" s="9">
        <f>'Clientes e Ingresos'!F17</f>
        <v>14</v>
      </c>
      <c r="D46" s="10">
        <f t="shared" si="1"/>
        <v>114247.54466666667</v>
      </c>
      <c r="E46" s="10">
        <f>C46*$D$27+(ROUND((((80*2+20)*0.16/1000+(80*2+20)*32/1000000*0.12)*500),2)+80*2*(4000*0.4+300*1.6)/1000000*500+MAX(0,C46-1)*(ROUND((((200*2+20)*0.16/1000+(200*2+20)*32/1000000*0.12)*500),2)+200*2*(4000*0.4+300*1.6)/1000000*500))+C46*$D$29+'Clientes e Ingresos'!D17*(8*(496838.17/30/8))+(ROUND((MAX(0,((1)*1+(MAX(0,C46-1))*3+(0)*8+(0)*16)-100)*0.0213+MAX(0,((1)*1.056+(MAX(0,C46-1))*2.63999999999999+(0)*6.6+(0)*13.2)-250)*0.09+(MAX(0,ROUNDUP((((1)*0.06+(MAX(0,C46-1))*0.15)+((0)*0.375+(0)*0.75)*0.05)*2,0)-8)+((1)*0+(MAX(0,C46-1))*0+(0)*0+(0)*0))*0.125+IF(((1)*80+(MAX(0,C46-1))*200)&lt;=2000,10,IF(((1)*80+(MAX(0,C46-1))*200)&lt;=5000,15,IF(((1)*80+(MAX(0,C46-1))*200)&lt;=10000,60,110)))-10)*500,2)+ROUND((MAX(0,((1)*0.166864+(MAX(0,C46-1))*0.41716+(0)*1.0429+(0)*2.0858)+20*2*2*0.0035+30*(1/3600*0.128+5/3600*0.0106)-20)+IF(AND(((1)*55680+(MAX(0,C46-1))*139200+(0)*348000+(0)*696000)&lt;=1000000,((1)*1.536+(MAX(0,C46-1))*3.84+(0)*9.6+(0)*19.2)&lt;=1000),0,IF(((1)*55680+(MAX(0,C46-1))*139200+(0)*348000+(0)*696000)&lt;=10000000,20,IF(((1)*55680+(MAX(0,C46-1))*139200+(0)*348000+(0)*696000)&lt;=50000000,100,300)))+MAX(0,ROUNDUP(((1)*80+(MAX(0,C46-1))*200+(0)*500+(0)*1000)/5000,0)-1)*25+IF(((1)*80+(MAX(0,C46-1))*200+(0)*500+(0)*1000)&gt;5000,32-10,0))*500,2))</f>
        <v>49588.865625000006</v>
      </c>
      <c r="F46" s="10">
        <f t="shared" si="0"/>
        <v>163836.41029166669</v>
      </c>
    </row>
    <row r="47" spans="2:6" x14ac:dyDescent="0.3">
      <c r="B47" s="11" t="s">
        <v>78</v>
      </c>
      <c r="C47" s="19"/>
      <c r="D47" s="15">
        <f>SUM(D35:D46)</f>
        <v>1448654.3530000004</v>
      </c>
      <c r="E47" s="15">
        <f>SUM(E35:E46)</f>
        <v>536566.02174999996</v>
      </c>
      <c r="F47" s="15">
        <f>SUM(F35:F46)</f>
        <v>1985220.37475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2"/>
  <sheetViews>
    <sheetView topLeftCell="A12" workbookViewId="0">
      <selection activeCell="D12" sqref="D12"/>
    </sheetView>
  </sheetViews>
  <sheetFormatPr baseColWidth="10" defaultColWidth="8.88671875" defaultRowHeight="14.4" x14ac:dyDescent="0.3"/>
  <cols>
    <col min="1" max="1" width="12" customWidth="1"/>
    <col min="2" max="2" width="30" customWidth="1"/>
    <col min="3" max="3" width="25" customWidth="1"/>
    <col min="4" max="4" width="22" customWidth="1"/>
    <col min="5" max="5" width="20" customWidth="1"/>
    <col min="6" max="7" width="22" customWidth="1"/>
    <col min="8" max="8" width="16" customWidth="1"/>
  </cols>
  <sheetData>
    <row r="2" spans="2:5" ht="21" customHeight="1" x14ac:dyDescent="0.4">
      <c r="B2" s="1" t="s">
        <v>129</v>
      </c>
    </row>
    <row r="3" spans="2:5" x14ac:dyDescent="0.3">
      <c r="B3" s="2" t="s">
        <v>130</v>
      </c>
    </row>
    <row r="5" spans="2:5" ht="17.399999999999999" customHeight="1" x14ac:dyDescent="0.35">
      <c r="B5" s="3" t="s">
        <v>131</v>
      </c>
    </row>
    <row r="6" spans="2:5" x14ac:dyDescent="0.3">
      <c r="B6" s="59" t="s">
        <v>132</v>
      </c>
      <c r="C6" s="46"/>
      <c r="D6" s="20">
        <f>'Clientes e Ingresos'!G6</f>
        <v>23000</v>
      </c>
    </row>
    <row r="7" spans="2:5" x14ac:dyDescent="0.3">
      <c r="B7" s="59" t="s">
        <v>133</v>
      </c>
      <c r="C7" s="46"/>
      <c r="D7" s="20">
        <f>'Egresos e Inversión'!D30</f>
        <v>1431.6375208333334</v>
      </c>
    </row>
    <row r="8" spans="2:5" x14ac:dyDescent="0.3">
      <c r="B8" s="59" t="s">
        <v>134</v>
      </c>
      <c r="C8" s="46"/>
      <c r="D8" s="20">
        <f>D6-D7</f>
        <v>21568.362479166666</v>
      </c>
    </row>
    <row r="9" spans="2:5" x14ac:dyDescent="0.3">
      <c r="B9" s="59" t="s">
        <v>135</v>
      </c>
      <c r="C9" s="46"/>
      <c r="D9" s="20">
        <f>'Egresos e Inversión'!D22</f>
        <v>114247.54466666667</v>
      </c>
    </row>
    <row r="11" spans="2:5" ht="17.399999999999999" customHeight="1" x14ac:dyDescent="0.35">
      <c r="B11" s="3" t="s">
        <v>136</v>
      </c>
    </row>
    <row r="12" spans="2:5" x14ac:dyDescent="0.3">
      <c r="B12" s="59" t="s">
        <v>137</v>
      </c>
      <c r="C12" s="46"/>
      <c r="D12" s="21">
        <f>(D9+('Egresos e Inversión'!D27+181.15)-('Egresos e Inversión'!D27+450.41)-15000+25000)/(25000-('Egresos e Inversión'!D27+450.41))</f>
        <v>5.2724161439171215</v>
      </c>
    </row>
    <row r="13" spans="2:5" x14ac:dyDescent="0.3">
      <c r="B13" s="58" t="s">
        <v>138</v>
      </c>
      <c r="C13" s="46"/>
      <c r="D13" s="22">
        <f>IF(MIN(IF(G18&gt;=0,B18,999),IF(G19&gt;=0,B19,999),IF(G20&gt;=0,B20,999),IF(G21&gt;=0,B21,999),IF(G22&gt;=0,B22,999),IF(G23&gt;=0,B23,999),IF(G24&gt;=0,B24,999),IF(G25&gt;=0,B25,999),IF(G26&gt;=0,B26,999),IF(G27&gt;=0,B27,999),IF(G28&gt;=0,B28,999),IF(G29&gt;=0,B29,999),IF(G30&gt;=0,B30,999),IF(G31&gt;=0,B31,999),IF(G32&gt;=0,B32,999))=999,"Fuera de tabla",MIN(IF(G18&gt;=0,B18,999),IF(G19&gt;=0,B19,999),IF(G20&gt;=0,B20,999),IF(G21&gt;=0,B21,999),IF(G22&gt;=0,B22,999),IF(G23&gt;=0,B23,999),IF(G24&gt;=0,B24,999),IF(G25&gt;=0,B25,999),IF(G26&gt;=0,B26,999),IF(G27&gt;=0,B27,999),IF(G28&gt;=0,B28,999),IF(G29&gt;=0,B29,999),IF(G30&gt;=0,B30,999),IF(G31&gt;=0,B31,999),IF(G32&gt;=0,B32,999)))</f>
        <v>6</v>
      </c>
      <c r="E13" t="s">
        <v>139</v>
      </c>
    </row>
    <row r="14" spans="2:5" ht="23.4" customHeight="1" x14ac:dyDescent="0.3">
      <c r="B14" s="58" t="s">
        <v>140</v>
      </c>
      <c r="C14" s="46"/>
      <c r="D14" s="23">
        <f>IF(ISNUMBER(D13),15000+MAX(0,D13-1)*25000,"Fuera de tabla")</f>
        <v>140000</v>
      </c>
    </row>
    <row r="16" spans="2:5" ht="17.399999999999999" customHeight="1" x14ac:dyDescent="0.35">
      <c r="B16" s="3" t="s">
        <v>141</v>
      </c>
    </row>
    <row r="17" spans="2:8" x14ac:dyDescent="0.3">
      <c r="B17" s="4" t="s">
        <v>142</v>
      </c>
      <c r="C17" s="17" t="s">
        <v>143</v>
      </c>
      <c r="D17" s="17" t="s">
        <v>144</v>
      </c>
      <c r="E17" s="17" t="s">
        <v>145</v>
      </c>
      <c r="F17" s="17" t="s">
        <v>146</v>
      </c>
      <c r="G17" s="17" t="s">
        <v>147</v>
      </c>
      <c r="H17" s="4" t="s">
        <v>148</v>
      </c>
    </row>
    <row r="18" spans="2:8" x14ac:dyDescent="0.3">
      <c r="B18" s="9">
        <v>1</v>
      </c>
      <c r="C18" s="10">
        <f t="shared" ref="C18:C32" si="0">15000+MAX(0,B18-1)*25000</f>
        <v>15000</v>
      </c>
      <c r="D18" s="10">
        <f>ROUND(B18*'Egresos e Inversión'!$D$27+(ROUND((((80*2+20)*0.16/1000+(80*2+20)*32/1000000*0.12)*500),2)+80*2*(4000*0.4+300*1.6)/1000000*500+MAX(0,B18-1)*(ROUND((((200*2+20)*0.16/1000+(200*2+20)*32/1000000*0.12)*500),2)+200*2*(4000*0.4+300*1.6)/1000000*500))+B18*'Egresos e Inversión'!$D$29+(ROUND((MAX(0,((1)*1+(MAX(0,B18-1))*3+(0)*8+(0)*16)-100)*0.0213+MAX(0,((1)*1.056+(MAX(0,B18-1))*2.63999999999999+(0)*6.6+(0)*13.2)-250)*0.09+(MAX(0,ROUNDUP((((1)*0.06+(MAX(0,B18-1))*0.15)+((0)*0.375+(0)*0.75)*0.05)*2,0)-8)+((1)*0+(MAX(0,B18-1))*0+(0)*0+(0)*0))*0.125+IF(((1)*80+(MAX(0,B18-1))*200)&lt;=2000,10,IF(((1)*80+(MAX(0,B18-1))*200)&lt;=5000,15,IF(((1)*80+(MAX(0,B18-1))*200)&lt;=10000,60,110)))-10)*500,2)+ROUND((MAX(0,((1)*0.166864+(MAX(0,B18-1))*0.41716+(0)*1.0429+(0)*2.0858)+20*2*2*0.0035+30*(1/3600*0.128+5/3600*0.0106)-20)+IF(AND(((1)*55680+(MAX(0,B18-1))*139200+(0)*348000+(0)*696000)&lt;=1000000,((1)*1.536+(MAX(0,B18-1))*3.84+(0)*9.6+(0)*19.2)&lt;=1000),0,IF(((1)*55680+(MAX(0,B18-1))*139200+(0)*348000+(0)*696000)&lt;=10000000,20,IF(((1)*55680+(MAX(0,B18-1))*139200+(0)*348000+(0)*696000)&lt;=50000000,100,300)))+MAX(0,ROUNDUP(((1)*80+(MAX(0,B18-1))*200+(0)*500+(0)*1000)/5000,0)-1)*25+IF(((1)*80+(MAX(0,B18-1))*200+(0)*500+(0)*1000)&gt;5000,32-10,0))*500,2)),2)</f>
        <v>1216.23</v>
      </c>
      <c r="E18" s="10">
        <f t="shared" ref="E18:E32" si="1">$D$9</f>
        <v>114247.54466666667</v>
      </c>
      <c r="F18" s="10">
        <f t="shared" ref="F18:F32" si="2">D18+E18</f>
        <v>115463.77466666666</v>
      </c>
      <c r="G18" s="10">
        <f t="shared" ref="G18:G32" si="3">C18-F18</f>
        <v>-100463.77466666666</v>
      </c>
      <c r="H18" s="8" t="str">
        <f t="shared" ref="H18:H32" si="4">IF(G18&lt;0,"Pérdida",IF(G18=0,"Equilibrio","Ganancia"))</f>
        <v>Pérdida</v>
      </c>
    </row>
    <row r="19" spans="2:8" x14ac:dyDescent="0.3">
      <c r="B19" s="6">
        <v>2</v>
      </c>
      <c r="C19" s="7">
        <f t="shared" si="0"/>
        <v>40000</v>
      </c>
      <c r="D19" s="7">
        <f>ROUND(B19*'Egresos e Inversión'!$D$27+(ROUND((((80*2+20)*0.16/1000+(80*2+20)*32/1000000*0.12)*500),2)+80*2*(4000*0.4+300*1.6)/1000000*500+MAX(0,B19-1)*(ROUND((((200*2+20)*0.16/1000+(200*2+20)*32/1000000*0.12)*500),2)+200*2*(4000*0.4+300*1.6)/1000000*500))+B19*'Egresos e Inversión'!$D$29+(ROUND((MAX(0,((1)*1+(MAX(0,B19-1))*3+(0)*8+(0)*16)-100)*0.0213+MAX(0,((1)*1.056+(MAX(0,B19-1))*2.63999999999999+(0)*6.6+(0)*13.2)-250)*0.09+(MAX(0,ROUNDUP((((1)*0.06+(MAX(0,B19-1))*0.15)+((0)*0.375+(0)*0.75)*0.05)*2,0)-8)+((1)*0+(MAX(0,B19-1))*0+(0)*0+(0)*0))*0.125+IF(((1)*80+(MAX(0,B19-1))*200)&lt;=2000,10,IF(((1)*80+(MAX(0,B19-1))*200)&lt;=5000,15,IF(((1)*80+(MAX(0,B19-1))*200)&lt;=10000,60,110)))-10)*500,2)+ROUND((MAX(0,((1)*0.166864+(MAX(0,B19-1))*0.41716+(0)*1.0429+(0)*2.0858)+20*2*2*0.0035+30*(1/3600*0.128+5/3600*0.0106)-20)+IF(AND(((1)*55680+(MAX(0,B19-1))*139200+(0)*348000+(0)*696000)&lt;=1000000,((1)*1.536+(MAX(0,B19-1))*3.84+(0)*9.6+(0)*19.2)&lt;=1000),0,IF(((1)*55680+(MAX(0,B19-1))*139200+(0)*348000+(0)*696000)&lt;=10000000,20,IF(((1)*55680+(MAX(0,B19-1))*139200+(0)*348000+(0)*696000)&lt;=50000000,100,300)))+MAX(0,ROUNDUP(((1)*80+(MAX(0,B19-1))*200+(0)*500+(0)*1000)/5000,0)-1)*25+IF(((1)*80+(MAX(0,B19-1))*200+(0)*500+(0)*1000)&gt;5000,32-10,0))*500,2)),2)</f>
        <v>2701.72</v>
      </c>
      <c r="E19" s="7">
        <f t="shared" si="1"/>
        <v>114247.54466666667</v>
      </c>
      <c r="F19" s="7">
        <f t="shared" si="2"/>
        <v>116949.26466666667</v>
      </c>
      <c r="G19" s="7">
        <f t="shared" si="3"/>
        <v>-76949.26466666667</v>
      </c>
      <c r="H19" s="5" t="str">
        <f t="shared" si="4"/>
        <v>Pérdida</v>
      </c>
    </row>
    <row r="20" spans="2:8" x14ac:dyDescent="0.3">
      <c r="B20" s="9">
        <v>3</v>
      </c>
      <c r="C20" s="10">
        <f t="shared" si="0"/>
        <v>65000</v>
      </c>
      <c r="D20" s="10">
        <f>ROUND(B20*'Egresos e Inversión'!$D$27+(ROUND((((80*2+20)*0.16/1000+(80*2+20)*32/1000000*0.12)*500),2)+80*2*(4000*0.4+300*1.6)/1000000*500+MAX(0,B20-1)*(ROUND((((200*2+20)*0.16/1000+(200*2+20)*32/1000000*0.12)*500),2)+200*2*(4000*0.4+300*1.6)/1000000*500))+B20*'Egresos e Inversión'!$D$29+(ROUND((MAX(0,((1)*1+(MAX(0,B20-1))*3+(0)*8+(0)*16)-100)*0.0213+MAX(0,((1)*1.056+(MAX(0,B20-1))*2.63999999999999+(0)*6.6+(0)*13.2)-250)*0.09+(MAX(0,ROUNDUP((((1)*0.06+(MAX(0,B20-1))*0.15)+((0)*0.375+(0)*0.75)*0.05)*2,0)-8)+((1)*0+(MAX(0,B20-1))*0+(0)*0+(0)*0))*0.125+IF(((1)*80+(MAX(0,B20-1))*200)&lt;=2000,10,IF(((1)*80+(MAX(0,B20-1))*200)&lt;=5000,15,IF(((1)*80+(MAX(0,B20-1))*200)&lt;=10000,60,110)))-10)*500,2)+ROUND((MAX(0,((1)*0.166864+(MAX(0,B20-1))*0.41716+(0)*1.0429+(0)*2.0858)+20*2*2*0.0035+30*(1/3600*0.128+5/3600*0.0106)-20)+IF(AND(((1)*55680+(MAX(0,B20-1))*139200+(0)*348000+(0)*696000)&lt;=1000000,((1)*1.536+(MAX(0,B20-1))*3.84+(0)*9.6+(0)*19.2)&lt;=1000),0,IF(((1)*55680+(MAX(0,B20-1))*139200+(0)*348000+(0)*696000)&lt;=10000000,20,IF(((1)*55680+(MAX(0,B20-1))*139200+(0)*348000+(0)*696000)&lt;=50000000,100,300)))+MAX(0,ROUNDUP(((1)*80+(MAX(0,B20-1))*200+(0)*500+(0)*1000)/5000,0)-1)*25+IF(((1)*80+(MAX(0,B20-1))*200+(0)*500+(0)*1000)&gt;5000,32-10,0))*500,2)),2)</f>
        <v>4187.21</v>
      </c>
      <c r="E20" s="10">
        <f t="shared" si="1"/>
        <v>114247.54466666667</v>
      </c>
      <c r="F20" s="10">
        <f t="shared" si="2"/>
        <v>118434.75466666667</v>
      </c>
      <c r="G20" s="10">
        <f t="shared" si="3"/>
        <v>-53434.754666666675</v>
      </c>
      <c r="H20" s="8" t="str">
        <f t="shared" si="4"/>
        <v>Pérdida</v>
      </c>
    </row>
    <row r="21" spans="2:8" x14ac:dyDescent="0.3">
      <c r="B21" s="6">
        <v>4</v>
      </c>
      <c r="C21" s="7">
        <f t="shared" si="0"/>
        <v>90000</v>
      </c>
      <c r="D21" s="7">
        <f>ROUND(B21*'Egresos e Inversión'!$D$27+(ROUND((((80*2+20)*0.16/1000+(80*2+20)*32/1000000*0.12)*500),2)+80*2*(4000*0.4+300*1.6)/1000000*500+MAX(0,B21-1)*(ROUND((((200*2+20)*0.16/1000+(200*2+20)*32/1000000*0.12)*500),2)+200*2*(4000*0.4+300*1.6)/1000000*500))+B21*'Egresos e Inversión'!$D$29+(ROUND((MAX(0,((1)*1+(MAX(0,B21-1))*3+(0)*8+(0)*16)-100)*0.0213+MAX(0,((1)*1.056+(MAX(0,B21-1))*2.63999999999999+(0)*6.6+(0)*13.2)-250)*0.09+(MAX(0,ROUNDUP((((1)*0.06+(MAX(0,B21-1))*0.15)+((0)*0.375+(0)*0.75)*0.05)*2,0)-8)+((1)*0+(MAX(0,B21-1))*0+(0)*0+(0)*0))*0.125+IF(((1)*80+(MAX(0,B21-1))*200)&lt;=2000,10,IF(((1)*80+(MAX(0,B21-1))*200)&lt;=5000,15,IF(((1)*80+(MAX(0,B21-1))*200)&lt;=10000,60,110)))-10)*500,2)+ROUND((MAX(0,((1)*0.166864+(MAX(0,B21-1))*0.41716+(0)*1.0429+(0)*2.0858)+20*2*2*0.0035+30*(1/3600*0.128+5/3600*0.0106)-20)+IF(AND(((1)*55680+(MAX(0,B21-1))*139200+(0)*348000+(0)*696000)&lt;=1000000,((1)*1.536+(MAX(0,B21-1))*3.84+(0)*9.6+(0)*19.2)&lt;=1000),0,IF(((1)*55680+(MAX(0,B21-1))*139200+(0)*348000+(0)*696000)&lt;=10000000,20,IF(((1)*55680+(MAX(0,B21-1))*139200+(0)*348000+(0)*696000)&lt;=50000000,100,300)))+MAX(0,ROUNDUP(((1)*80+(MAX(0,B21-1))*200+(0)*500+(0)*1000)/5000,0)-1)*25+IF(((1)*80+(MAX(0,B21-1))*200+(0)*500+(0)*1000)&gt;5000,32-10,0))*500,2)),2)</f>
        <v>5672.7</v>
      </c>
      <c r="E21" s="7">
        <f t="shared" si="1"/>
        <v>114247.54466666667</v>
      </c>
      <c r="F21" s="7">
        <f t="shared" si="2"/>
        <v>119920.24466666667</v>
      </c>
      <c r="G21" s="7">
        <f t="shared" si="3"/>
        <v>-29920.244666666666</v>
      </c>
      <c r="H21" s="5" t="str">
        <f t="shared" si="4"/>
        <v>Pérdida</v>
      </c>
    </row>
    <row r="22" spans="2:8" x14ac:dyDescent="0.3">
      <c r="B22" s="24">
        <v>5</v>
      </c>
      <c r="C22" s="25">
        <f t="shared" si="0"/>
        <v>115000</v>
      </c>
      <c r="D22" s="25">
        <f>ROUND(B22*'Egresos e Inversión'!$D$27+(ROUND((((80*2+20)*0.16/1000+(80*2+20)*32/1000000*0.12)*500),2)+80*2*(4000*0.4+300*1.6)/1000000*500+MAX(0,B22-1)*(ROUND((((200*2+20)*0.16/1000+(200*2+20)*32/1000000*0.12)*500),2)+200*2*(4000*0.4+300*1.6)/1000000*500))+B22*'Egresos e Inversión'!$D$29+(ROUND((MAX(0,((1)*1+(MAX(0,B22-1))*3+(0)*8+(0)*16)-100)*0.0213+MAX(0,((1)*1.056+(MAX(0,B22-1))*2.63999999999999+(0)*6.6+(0)*13.2)-250)*0.09+(MAX(0,ROUNDUP((((1)*0.06+(MAX(0,B22-1))*0.15)+((0)*0.375+(0)*0.75)*0.05)*2,0)-8)+((1)*0+(MAX(0,B22-1))*0+(0)*0+(0)*0))*0.125+IF(((1)*80+(MAX(0,B22-1))*200)&lt;=2000,10,IF(((1)*80+(MAX(0,B22-1))*200)&lt;=5000,15,IF(((1)*80+(MAX(0,B22-1))*200)&lt;=10000,60,110)))-10)*500,2)+ROUND((MAX(0,((1)*0.166864+(MAX(0,B22-1))*0.41716+(0)*1.0429+(0)*2.0858)+20*2*2*0.0035+30*(1/3600*0.128+5/3600*0.0106)-20)+IF(AND(((1)*55680+(MAX(0,B22-1))*139200+(0)*348000+(0)*696000)&lt;=1000000,((1)*1.536+(MAX(0,B22-1))*3.84+(0)*9.6+(0)*19.2)&lt;=1000),0,IF(((1)*55680+(MAX(0,B22-1))*139200+(0)*348000+(0)*696000)&lt;=10000000,20,IF(((1)*55680+(MAX(0,B22-1))*139200+(0)*348000+(0)*696000)&lt;=50000000,100,300)))+MAX(0,ROUNDUP(((1)*80+(MAX(0,B22-1))*200+(0)*500+(0)*1000)/5000,0)-1)*25+IF(((1)*80+(MAX(0,B22-1))*200+(0)*500+(0)*1000)&gt;5000,32-10,0))*500,2)),2)</f>
        <v>7158.19</v>
      </c>
      <c r="E22" s="25">
        <f t="shared" si="1"/>
        <v>114247.54466666667</v>
      </c>
      <c r="F22" s="25">
        <f t="shared" si="2"/>
        <v>121405.73466666667</v>
      </c>
      <c r="G22" s="25">
        <f t="shared" si="3"/>
        <v>-6405.7346666666708</v>
      </c>
      <c r="H22" s="26" t="str">
        <f t="shared" si="4"/>
        <v>Pérdida</v>
      </c>
    </row>
    <row r="23" spans="2:8" x14ac:dyDescent="0.3">
      <c r="B23" s="6">
        <v>6</v>
      </c>
      <c r="C23" s="7">
        <f t="shared" si="0"/>
        <v>140000</v>
      </c>
      <c r="D23" s="7">
        <f>ROUND(B23*'Egresos e Inversión'!$D$27+(ROUND((((80*2+20)*0.16/1000+(80*2+20)*32/1000000*0.12)*500),2)+80*2*(4000*0.4+300*1.6)/1000000*500+MAX(0,B23-1)*(ROUND((((200*2+20)*0.16/1000+(200*2+20)*32/1000000*0.12)*500),2)+200*2*(4000*0.4+300*1.6)/1000000*500))+B23*'Egresos e Inversión'!$D$29+(ROUND((MAX(0,((1)*1+(MAX(0,B23-1))*3+(0)*8+(0)*16)-100)*0.0213+MAX(0,((1)*1.056+(MAX(0,B23-1))*2.63999999999999+(0)*6.6+(0)*13.2)-250)*0.09+(MAX(0,ROUNDUP((((1)*0.06+(MAX(0,B23-1))*0.15)+((0)*0.375+(0)*0.75)*0.05)*2,0)-8)+((1)*0+(MAX(0,B23-1))*0+(0)*0+(0)*0))*0.125+IF(((1)*80+(MAX(0,B23-1))*200)&lt;=2000,10,IF(((1)*80+(MAX(0,B23-1))*200)&lt;=5000,15,IF(((1)*80+(MAX(0,B23-1))*200)&lt;=10000,60,110)))-10)*500,2)+ROUND((MAX(0,((1)*0.166864+(MAX(0,B23-1))*0.41716+(0)*1.0429+(0)*2.0858)+20*2*2*0.0035+30*(1/3600*0.128+5/3600*0.0106)-20)+IF(AND(((1)*55680+(MAX(0,B23-1))*139200+(0)*348000+(0)*696000)&lt;=1000000,((1)*1.536+(MAX(0,B23-1))*3.84+(0)*9.6+(0)*19.2)&lt;=1000),0,IF(((1)*55680+(MAX(0,B23-1))*139200+(0)*348000+(0)*696000)&lt;=10000000,20,IF(((1)*55680+(MAX(0,B23-1))*139200+(0)*348000+(0)*696000)&lt;=50000000,100,300)))+MAX(0,ROUNDUP(((1)*80+(MAX(0,B23-1))*200+(0)*500+(0)*1000)/5000,0)-1)*25+IF(((1)*80+(MAX(0,B23-1))*200+(0)*500+(0)*1000)&gt;5000,32-10,0))*500,2)),2)</f>
        <v>8643.68</v>
      </c>
      <c r="E23" s="7">
        <f t="shared" si="1"/>
        <v>114247.54466666667</v>
      </c>
      <c r="F23" s="7">
        <f t="shared" si="2"/>
        <v>122891.22466666668</v>
      </c>
      <c r="G23" s="7">
        <f t="shared" si="3"/>
        <v>17108.775333333324</v>
      </c>
      <c r="H23" s="5" t="str">
        <f t="shared" si="4"/>
        <v>Ganancia</v>
      </c>
    </row>
    <row r="24" spans="2:8" x14ac:dyDescent="0.3">
      <c r="B24" s="9">
        <v>7</v>
      </c>
      <c r="C24" s="10">
        <f t="shared" si="0"/>
        <v>165000</v>
      </c>
      <c r="D24" s="10">
        <f>ROUND(B24*'Egresos e Inversión'!$D$27+(ROUND((((80*2+20)*0.16/1000+(80*2+20)*32/1000000*0.12)*500),2)+80*2*(4000*0.4+300*1.6)/1000000*500+MAX(0,B24-1)*(ROUND((((200*2+20)*0.16/1000+(200*2+20)*32/1000000*0.12)*500),2)+200*2*(4000*0.4+300*1.6)/1000000*500))+B24*'Egresos e Inversión'!$D$29+(ROUND((MAX(0,((1)*1+(MAX(0,B24-1))*3+(0)*8+(0)*16)-100)*0.0213+MAX(0,((1)*1.056+(MAX(0,B24-1))*2.63999999999999+(0)*6.6+(0)*13.2)-250)*0.09+(MAX(0,ROUNDUP((((1)*0.06+(MAX(0,B24-1))*0.15)+((0)*0.375+(0)*0.75)*0.05)*2,0)-8)+((1)*0+(MAX(0,B24-1))*0+(0)*0+(0)*0))*0.125+IF(((1)*80+(MAX(0,B24-1))*200)&lt;=2000,10,IF(((1)*80+(MAX(0,B24-1))*200)&lt;=5000,15,IF(((1)*80+(MAX(0,B24-1))*200)&lt;=10000,60,110)))-10)*500,2)+ROUND((MAX(0,((1)*0.166864+(MAX(0,B24-1))*0.41716+(0)*1.0429+(0)*2.0858)+20*2*2*0.0035+30*(1/3600*0.128+5/3600*0.0106)-20)+IF(AND(((1)*55680+(MAX(0,B24-1))*139200+(0)*348000+(0)*696000)&lt;=1000000,((1)*1.536+(MAX(0,B24-1))*3.84+(0)*9.6+(0)*19.2)&lt;=1000),0,IF(((1)*55680+(MAX(0,B24-1))*139200+(0)*348000+(0)*696000)&lt;=10000000,20,IF(((1)*55680+(MAX(0,B24-1))*139200+(0)*348000+(0)*696000)&lt;=50000000,100,300)))+MAX(0,ROUNDUP(((1)*80+(MAX(0,B24-1))*200+(0)*500+(0)*1000)/5000,0)-1)*25+IF(((1)*80+(MAX(0,B24-1))*200+(0)*500+(0)*1000)&gt;5000,32-10,0))*500,2)),2)</f>
        <v>10129.17</v>
      </c>
      <c r="E24" s="10">
        <f t="shared" si="1"/>
        <v>114247.54466666667</v>
      </c>
      <c r="F24" s="10">
        <f t="shared" si="2"/>
        <v>124376.71466666667</v>
      </c>
      <c r="G24" s="10">
        <f t="shared" si="3"/>
        <v>40623.285333333333</v>
      </c>
      <c r="H24" s="8" t="str">
        <f t="shared" si="4"/>
        <v>Ganancia</v>
      </c>
    </row>
    <row r="25" spans="2:8" x14ac:dyDescent="0.3">
      <c r="B25" s="6">
        <v>8</v>
      </c>
      <c r="C25" s="7">
        <f t="shared" si="0"/>
        <v>190000</v>
      </c>
      <c r="D25" s="7">
        <f>ROUND(B25*'Egresos e Inversión'!$D$27+(ROUND((((80*2+20)*0.16/1000+(80*2+20)*32/1000000*0.12)*500),2)+80*2*(4000*0.4+300*1.6)/1000000*500+MAX(0,B25-1)*(ROUND((((200*2+20)*0.16/1000+(200*2+20)*32/1000000*0.12)*500),2)+200*2*(4000*0.4+300*1.6)/1000000*500))+B25*'Egresos e Inversión'!$D$29+(ROUND((MAX(0,((1)*1+(MAX(0,B25-1))*3+(0)*8+(0)*16)-100)*0.0213+MAX(0,((1)*1.056+(MAX(0,B25-1))*2.63999999999999+(0)*6.6+(0)*13.2)-250)*0.09+(MAX(0,ROUNDUP((((1)*0.06+(MAX(0,B25-1))*0.15)+((0)*0.375+(0)*0.75)*0.05)*2,0)-8)+((1)*0+(MAX(0,B25-1))*0+(0)*0+(0)*0))*0.125+IF(((1)*80+(MAX(0,B25-1))*200)&lt;=2000,10,IF(((1)*80+(MAX(0,B25-1))*200)&lt;=5000,15,IF(((1)*80+(MAX(0,B25-1))*200)&lt;=10000,60,110)))-10)*500,2)+ROUND((MAX(0,((1)*0.166864+(MAX(0,B25-1))*0.41716+(0)*1.0429+(0)*2.0858)+20*2*2*0.0035+30*(1/3600*0.128+5/3600*0.0106)-20)+IF(AND(((1)*55680+(MAX(0,B25-1))*139200+(0)*348000+(0)*696000)&lt;=1000000,((1)*1.536+(MAX(0,B25-1))*3.84+(0)*9.6+(0)*19.2)&lt;=1000),0,IF(((1)*55680+(MAX(0,B25-1))*139200+(0)*348000+(0)*696000)&lt;=10000000,20,IF(((1)*55680+(MAX(0,B25-1))*139200+(0)*348000+(0)*696000)&lt;=50000000,100,300)))+MAX(0,ROUNDUP(((1)*80+(MAX(0,B25-1))*200+(0)*500+(0)*1000)/5000,0)-1)*25+IF(((1)*80+(MAX(0,B25-1))*200+(0)*500+(0)*1000)&gt;5000,32-10,0))*500,2)),2)</f>
        <v>21614.66</v>
      </c>
      <c r="E25" s="7">
        <f t="shared" si="1"/>
        <v>114247.54466666667</v>
      </c>
      <c r="F25" s="7">
        <f t="shared" si="2"/>
        <v>135862.20466666666</v>
      </c>
      <c r="G25" s="7">
        <f t="shared" si="3"/>
        <v>54137.795333333343</v>
      </c>
      <c r="H25" s="5" t="str">
        <f t="shared" si="4"/>
        <v>Ganancia</v>
      </c>
    </row>
    <row r="26" spans="2:8" x14ac:dyDescent="0.3">
      <c r="B26" s="9">
        <v>9</v>
      </c>
      <c r="C26" s="10">
        <f t="shared" si="0"/>
        <v>215000</v>
      </c>
      <c r="D26" s="10">
        <f>ROUND(B26*'Egresos e Inversión'!$D$27+(ROUND((((80*2+20)*0.16/1000+(80*2+20)*32/1000000*0.12)*500),2)+80*2*(4000*0.4+300*1.6)/1000000*500+MAX(0,B26-1)*(ROUND((((200*2+20)*0.16/1000+(200*2+20)*32/1000000*0.12)*500),2)+200*2*(4000*0.4+300*1.6)/1000000*500))+B26*'Egresos e Inversión'!$D$29+(ROUND((MAX(0,((1)*1+(MAX(0,B26-1))*3+(0)*8+(0)*16)-100)*0.0213+MAX(0,((1)*1.056+(MAX(0,B26-1))*2.63999999999999+(0)*6.6+(0)*13.2)-250)*0.09+(MAX(0,ROUNDUP((((1)*0.06+(MAX(0,B26-1))*0.15)+((0)*0.375+(0)*0.75)*0.05)*2,0)-8)+((1)*0+(MAX(0,B26-1))*0+(0)*0+(0)*0))*0.125+IF(((1)*80+(MAX(0,B26-1))*200)&lt;=2000,10,IF(((1)*80+(MAX(0,B26-1))*200)&lt;=5000,15,IF(((1)*80+(MAX(0,B26-1))*200)&lt;=10000,60,110)))-10)*500,2)+ROUND((MAX(0,((1)*0.166864+(MAX(0,B26-1))*0.41716+(0)*1.0429+(0)*2.0858)+20*2*2*0.0035+30*(1/3600*0.128+5/3600*0.0106)-20)+IF(AND(((1)*55680+(MAX(0,B26-1))*139200+(0)*348000+(0)*696000)&lt;=1000000,((1)*1.536+(MAX(0,B26-1))*3.84+(0)*9.6+(0)*19.2)&lt;=1000),0,IF(((1)*55680+(MAX(0,B26-1))*139200+(0)*348000+(0)*696000)&lt;=10000000,20,IF(((1)*55680+(MAX(0,B26-1))*139200+(0)*348000+(0)*696000)&lt;=50000000,100,300)))+MAX(0,ROUNDUP(((1)*80+(MAX(0,B26-1))*200+(0)*500+(0)*1000)/5000,0)-1)*25+IF(((1)*80+(MAX(0,B26-1))*200+(0)*500+(0)*1000)&gt;5000,32-10,0))*500,2)),2)</f>
        <v>23100.15</v>
      </c>
      <c r="E26" s="10">
        <f t="shared" si="1"/>
        <v>114247.54466666667</v>
      </c>
      <c r="F26" s="10">
        <f t="shared" si="2"/>
        <v>137347.69466666668</v>
      </c>
      <c r="G26" s="10">
        <f t="shared" si="3"/>
        <v>77652.305333333323</v>
      </c>
      <c r="H26" s="8" t="str">
        <f t="shared" si="4"/>
        <v>Ganancia</v>
      </c>
    </row>
    <row r="27" spans="2:8" x14ac:dyDescent="0.3">
      <c r="B27" s="6">
        <v>10</v>
      </c>
      <c r="C27" s="7">
        <f t="shared" si="0"/>
        <v>240000</v>
      </c>
      <c r="D27" s="7">
        <f>ROUND(B27*'Egresos e Inversión'!$D$27+(ROUND((((80*2+20)*0.16/1000+(80*2+20)*32/1000000*0.12)*500),2)+80*2*(4000*0.4+300*1.6)/1000000*500+MAX(0,B27-1)*(ROUND((((200*2+20)*0.16/1000+(200*2+20)*32/1000000*0.12)*500),2)+200*2*(4000*0.4+300*1.6)/1000000*500))+B27*'Egresos e Inversión'!$D$29+(ROUND((MAX(0,((1)*1+(MAX(0,B27-1))*3+(0)*8+(0)*16)-100)*0.0213+MAX(0,((1)*1.056+(MAX(0,B27-1))*2.63999999999999+(0)*6.6+(0)*13.2)-250)*0.09+(MAX(0,ROUNDUP((((1)*0.06+(MAX(0,B27-1))*0.15)+((0)*0.375+(0)*0.75)*0.05)*2,0)-8)+((1)*0+(MAX(0,B27-1))*0+(0)*0+(0)*0))*0.125+IF(((1)*80+(MAX(0,B27-1))*200)&lt;=2000,10,IF(((1)*80+(MAX(0,B27-1))*200)&lt;=5000,15,IF(((1)*80+(MAX(0,B27-1))*200)&lt;=10000,60,110)))-10)*500,2)+ROUND((MAX(0,((1)*0.166864+(MAX(0,B27-1))*0.41716+(0)*1.0429+(0)*2.0858)+20*2*2*0.0035+30*(1/3600*0.128+5/3600*0.0106)-20)+IF(AND(((1)*55680+(MAX(0,B27-1))*139200+(0)*348000+(0)*696000)&lt;=1000000,((1)*1.536+(MAX(0,B27-1))*3.84+(0)*9.6+(0)*19.2)&lt;=1000),0,IF(((1)*55680+(MAX(0,B27-1))*139200+(0)*348000+(0)*696000)&lt;=10000000,20,IF(((1)*55680+(MAX(0,B27-1))*139200+(0)*348000+(0)*696000)&lt;=50000000,100,300)))+MAX(0,ROUNDUP(((1)*80+(MAX(0,B27-1))*200+(0)*500+(0)*1000)/5000,0)-1)*25+IF(((1)*80+(MAX(0,B27-1))*200+(0)*500+(0)*1000)&gt;5000,32-10,0))*500,2)),2)</f>
        <v>24585.64</v>
      </c>
      <c r="E27" s="7">
        <f t="shared" si="1"/>
        <v>114247.54466666667</v>
      </c>
      <c r="F27" s="7">
        <f t="shared" si="2"/>
        <v>138833.18466666667</v>
      </c>
      <c r="G27" s="7">
        <f t="shared" si="3"/>
        <v>101166.81533333333</v>
      </c>
      <c r="H27" s="5" t="str">
        <f t="shared" si="4"/>
        <v>Ganancia</v>
      </c>
    </row>
    <row r="28" spans="2:8" x14ac:dyDescent="0.3">
      <c r="B28" s="9">
        <v>11</v>
      </c>
      <c r="C28" s="10">
        <f t="shared" si="0"/>
        <v>265000</v>
      </c>
      <c r="D28" s="10">
        <f>ROUND(B28*'Egresos e Inversión'!$D$27+(ROUND((((80*2+20)*0.16/1000+(80*2+20)*32/1000000*0.12)*500),2)+80*2*(4000*0.4+300*1.6)/1000000*500+MAX(0,B28-1)*(ROUND((((200*2+20)*0.16/1000+(200*2+20)*32/1000000*0.12)*500),2)+200*2*(4000*0.4+300*1.6)/1000000*500))+B28*'Egresos e Inversión'!$D$29+(ROUND((MAX(0,((1)*1+(MAX(0,B28-1))*3+(0)*8+(0)*16)-100)*0.0213+MAX(0,((1)*1.056+(MAX(0,B28-1))*2.63999999999999+(0)*6.6+(0)*13.2)-250)*0.09+(MAX(0,ROUNDUP((((1)*0.06+(MAX(0,B28-1))*0.15)+((0)*0.375+(0)*0.75)*0.05)*2,0)-8)+((1)*0+(MAX(0,B28-1))*0+(0)*0+(0)*0))*0.125+IF(((1)*80+(MAX(0,B28-1))*200)&lt;=2000,10,IF(((1)*80+(MAX(0,B28-1))*200)&lt;=5000,15,IF(((1)*80+(MAX(0,B28-1))*200)&lt;=10000,60,110)))-10)*500,2)+ROUND((MAX(0,((1)*0.166864+(MAX(0,B28-1))*0.41716+(0)*1.0429+(0)*2.0858)+20*2*2*0.0035+30*(1/3600*0.128+5/3600*0.0106)-20)+IF(AND(((1)*55680+(MAX(0,B28-1))*139200+(0)*348000+(0)*696000)&lt;=1000000,((1)*1.536+(MAX(0,B28-1))*3.84+(0)*9.6+(0)*19.2)&lt;=1000),0,IF(((1)*55680+(MAX(0,B28-1))*139200+(0)*348000+(0)*696000)&lt;=10000000,20,IF(((1)*55680+(MAX(0,B28-1))*139200+(0)*348000+(0)*696000)&lt;=50000000,100,300)))+MAX(0,ROUNDUP(((1)*80+(MAX(0,B28-1))*200+(0)*500+(0)*1000)/5000,0)-1)*25+IF(((1)*80+(MAX(0,B28-1))*200+(0)*500+(0)*1000)&gt;5000,32-10,0))*500,2)),2)</f>
        <v>28571.119999999999</v>
      </c>
      <c r="E28" s="10">
        <f t="shared" si="1"/>
        <v>114247.54466666667</v>
      </c>
      <c r="F28" s="10">
        <f t="shared" si="2"/>
        <v>142818.66466666668</v>
      </c>
      <c r="G28" s="10">
        <f t="shared" si="3"/>
        <v>122181.33533333332</v>
      </c>
      <c r="H28" s="8" t="str">
        <f t="shared" si="4"/>
        <v>Ganancia</v>
      </c>
    </row>
    <row r="29" spans="2:8" x14ac:dyDescent="0.3">
      <c r="B29" s="6">
        <v>12</v>
      </c>
      <c r="C29" s="7">
        <f t="shared" si="0"/>
        <v>290000</v>
      </c>
      <c r="D29" s="7">
        <f>ROUND(B29*'Egresos e Inversión'!$D$27+(ROUND((((80*2+20)*0.16/1000+(80*2+20)*32/1000000*0.12)*500),2)+80*2*(4000*0.4+300*1.6)/1000000*500+MAX(0,B29-1)*(ROUND((((200*2+20)*0.16/1000+(200*2+20)*32/1000000*0.12)*500),2)+200*2*(4000*0.4+300*1.6)/1000000*500))+B29*'Egresos e Inversión'!$D$29+(ROUND((MAX(0,((1)*1+(MAX(0,B29-1))*3+(0)*8+(0)*16)-100)*0.0213+MAX(0,((1)*1.056+(MAX(0,B29-1))*2.63999999999999+(0)*6.6+(0)*13.2)-250)*0.09+(MAX(0,ROUNDUP((((1)*0.06+(MAX(0,B29-1))*0.15)+((0)*0.375+(0)*0.75)*0.05)*2,0)-8)+((1)*0+(MAX(0,B29-1))*0+(0)*0+(0)*0))*0.125+IF(((1)*80+(MAX(0,B29-1))*200)&lt;=2000,10,IF(((1)*80+(MAX(0,B29-1))*200)&lt;=5000,15,IF(((1)*80+(MAX(0,B29-1))*200)&lt;=10000,60,110)))-10)*500,2)+ROUND((MAX(0,((1)*0.166864+(MAX(0,B29-1))*0.41716+(0)*1.0429+(0)*2.0858)+20*2*2*0.0035+30*(1/3600*0.128+5/3600*0.0106)-20)+IF(AND(((1)*55680+(MAX(0,B29-1))*139200+(0)*348000+(0)*696000)&lt;=1000000,((1)*1.536+(MAX(0,B29-1))*3.84+(0)*9.6+(0)*19.2)&lt;=1000),0,IF(((1)*55680+(MAX(0,B29-1))*139200+(0)*348000+(0)*696000)&lt;=10000000,20,IF(((1)*55680+(MAX(0,B29-1))*139200+(0)*348000+(0)*696000)&lt;=50000000,100,300)))+MAX(0,ROUNDUP(((1)*80+(MAX(0,B29-1))*200+(0)*500+(0)*1000)/5000,0)-1)*25+IF(((1)*80+(MAX(0,B29-1))*200+(0)*500+(0)*1000)&gt;5000,32-10,0))*500,2)),2)</f>
        <v>30056.61</v>
      </c>
      <c r="E29" s="7">
        <f t="shared" si="1"/>
        <v>114247.54466666667</v>
      </c>
      <c r="F29" s="7">
        <f t="shared" si="2"/>
        <v>144304.15466666667</v>
      </c>
      <c r="G29" s="7">
        <f t="shared" si="3"/>
        <v>145695.84533333333</v>
      </c>
      <c r="H29" s="5" t="str">
        <f t="shared" si="4"/>
        <v>Ganancia</v>
      </c>
    </row>
    <row r="30" spans="2:8" x14ac:dyDescent="0.3">
      <c r="B30" s="9">
        <v>13</v>
      </c>
      <c r="C30" s="10">
        <f t="shared" si="0"/>
        <v>315000</v>
      </c>
      <c r="D30" s="10">
        <f>ROUND(B30*'Egresos e Inversión'!$D$27+(ROUND((((80*2+20)*0.16/1000+(80*2+20)*32/1000000*0.12)*500),2)+80*2*(4000*0.4+300*1.6)/1000000*500+MAX(0,B30-1)*(ROUND((((200*2+20)*0.16/1000+(200*2+20)*32/1000000*0.12)*500),2)+200*2*(4000*0.4+300*1.6)/1000000*500))+B30*'Egresos e Inversión'!$D$29+(ROUND((MAX(0,((1)*1+(MAX(0,B30-1))*3+(0)*8+(0)*16)-100)*0.0213+MAX(0,((1)*1.056+(MAX(0,B30-1))*2.63999999999999+(0)*6.6+(0)*13.2)-250)*0.09+(MAX(0,ROUNDUP((((1)*0.06+(MAX(0,B30-1))*0.15)+((0)*0.375+(0)*0.75)*0.05)*2,0)-8)+((1)*0+(MAX(0,B30-1))*0+(0)*0+(0)*0))*0.125+IF(((1)*80+(MAX(0,B30-1))*200)&lt;=2000,10,IF(((1)*80+(MAX(0,B30-1))*200)&lt;=5000,15,IF(((1)*80+(MAX(0,B30-1))*200)&lt;=10000,60,110)))-10)*500,2)+ROUND((MAX(0,((1)*0.166864+(MAX(0,B30-1))*0.41716+(0)*1.0429+(0)*2.0858)+20*2*2*0.0035+30*(1/3600*0.128+5/3600*0.0106)-20)+IF(AND(((1)*55680+(MAX(0,B30-1))*139200+(0)*348000+(0)*696000)&lt;=1000000,((1)*1.536+(MAX(0,B30-1))*3.84+(0)*9.6+(0)*19.2)&lt;=1000),0,IF(((1)*55680+(MAX(0,B30-1))*139200+(0)*348000+(0)*696000)&lt;=10000000,20,IF(((1)*55680+(MAX(0,B30-1))*139200+(0)*348000+(0)*696000)&lt;=50000000,100,300)))+MAX(0,ROUNDUP(((1)*80+(MAX(0,B30-1))*200+(0)*500+(0)*1000)/5000,0)-1)*25+IF(((1)*80+(MAX(0,B30-1))*200+(0)*500+(0)*1000)&gt;5000,32-10,0))*500,2)),2)</f>
        <v>31542.1</v>
      </c>
      <c r="E30" s="10">
        <f t="shared" si="1"/>
        <v>114247.54466666667</v>
      </c>
      <c r="F30" s="10">
        <f t="shared" si="2"/>
        <v>145789.64466666666</v>
      </c>
      <c r="G30" s="10">
        <f t="shared" si="3"/>
        <v>169210.35533333334</v>
      </c>
      <c r="H30" s="8" t="str">
        <f t="shared" si="4"/>
        <v>Ganancia</v>
      </c>
    </row>
    <row r="31" spans="2:8" x14ac:dyDescent="0.3">
      <c r="B31" s="6">
        <v>14</v>
      </c>
      <c r="C31" s="7">
        <f t="shared" si="0"/>
        <v>340000</v>
      </c>
      <c r="D31" s="7">
        <f>ROUND(B31*'Egresos e Inversión'!$D$27+(ROUND((((80*2+20)*0.16/1000+(80*2+20)*32/1000000*0.12)*500),2)+80*2*(4000*0.4+300*1.6)/1000000*500+MAX(0,B31-1)*(ROUND((((200*2+20)*0.16/1000+(200*2+20)*32/1000000*0.12)*500),2)+200*2*(4000*0.4+300*1.6)/1000000*500))+B31*'Egresos e Inversión'!$D$29+(ROUND((MAX(0,((1)*1+(MAX(0,B31-1))*3+(0)*8+(0)*16)-100)*0.0213+MAX(0,((1)*1.056+(MAX(0,B31-1))*2.63999999999999+(0)*6.6+(0)*13.2)-250)*0.09+(MAX(0,ROUNDUP((((1)*0.06+(MAX(0,B31-1))*0.15)+((0)*0.375+(0)*0.75)*0.05)*2,0)-8)+((1)*0+(MAX(0,B31-1))*0+(0)*0+(0)*0))*0.125+IF(((1)*80+(MAX(0,B31-1))*200)&lt;=2000,10,IF(((1)*80+(MAX(0,B31-1))*200)&lt;=5000,15,IF(((1)*80+(MAX(0,B31-1))*200)&lt;=10000,60,110)))-10)*500,2)+ROUND((MAX(0,((1)*0.166864+(MAX(0,B31-1))*0.41716+(0)*1.0429+(0)*2.0858)+20*2*2*0.0035+30*(1/3600*0.128+5/3600*0.0106)-20)+IF(AND(((1)*55680+(MAX(0,B31-1))*139200+(0)*348000+(0)*696000)&lt;=1000000,((1)*1.536+(MAX(0,B31-1))*3.84+(0)*9.6+(0)*19.2)&lt;=1000),0,IF(((1)*55680+(MAX(0,B31-1))*139200+(0)*348000+(0)*696000)&lt;=10000000,20,IF(((1)*55680+(MAX(0,B31-1))*139200+(0)*348000+(0)*696000)&lt;=50000000,100,300)))+MAX(0,ROUNDUP(((1)*80+(MAX(0,B31-1))*200+(0)*500+(0)*1000)/5000,0)-1)*25+IF(((1)*80+(MAX(0,B31-1))*200+(0)*500+(0)*1000)&gt;5000,32-10,0))*500,2)),2)</f>
        <v>33027.589999999997</v>
      </c>
      <c r="E31" s="7">
        <f t="shared" si="1"/>
        <v>114247.54466666667</v>
      </c>
      <c r="F31" s="7">
        <f t="shared" si="2"/>
        <v>147275.13466666668</v>
      </c>
      <c r="G31" s="7">
        <f t="shared" si="3"/>
        <v>192724.86533333332</v>
      </c>
      <c r="H31" s="5" t="str">
        <f t="shared" si="4"/>
        <v>Ganancia</v>
      </c>
    </row>
    <row r="32" spans="2:8" x14ac:dyDescent="0.3">
      <c r="B32" s="9">
        <v>15</v>
      </c>
      <c r="C32" s="10">
        <f t="shared" si="0"/>
        <v>365000</v>
      </c>
      <c r="D32" s="10">
        <f>ROUND(B32*'Egresos e Inversión'!$D$27+(ROUND((((80*2+20)*0.16/1000+(80*2+20)*32/1000000*0.12)*500),2)+80*2*(4000*0.4+300*1.6)/1000000*500+MAX(0,B32-1)*(ROUND((((200*2+20)*0.16/1000+(200*2+20)*32/1000000*0.12)*500),2)+200*2*(4000*0.4+300*1.6)/1000000*500))+B32*'Egresos e Inversión'!$D$29+(ROUND((MAX(0,((1)*1+(MAX(0,B32-1))*3+(0)*8+(0)*16)-100)*0.0213+MAX(0,((1)*1.056+(MAX(0,B32-1))*2.63999999999999+(0)*6.6+(0)*13.2)-250)*0.09+(MAX(0,ROUNDUP((((1)*0.06+(MAX(0,B32-1))*0.15)+((0)*0.375+(0)*0.75)*0.05)*2,0)-8)+((1)*0+(MAX(0,B32-1))*0+(0)*0+(0)*0))*0.125+IF(((1)*80+(MAX(0,B32-1))*200)&lt;=2000,10,IF(((1)*80+(MAX(0,B32-1))*200)&lt;=5000,15,IF(((1)*80+(MAX(0,B32-1))*200)&lt;=10000,60,110)))-10)*500,2)+ROUND((MAX(0,((1)*0.166864+(MAX(0,B32-1))*0.41716+(0)*1.0429+(0)*2.0858)+20*2*2*0.0035+30*(1/3600*0.128+5/3600*0.0106)-20)+IF(AND(((1)*55680+(MAX(0,B32-1))*139200+(0)*348000+(0)*696000)&lt;=1000000,((1)*1.536+(MAX(0,B32-1))*3.84+(0)*9.6+(0)*19.2)&lt;=1000),0,IF(((1)*55680+(MAX(0,B32-1))*139200+(0)*348000+(0)*696000)&lt;=10000000,20,IF(((1)*55680+(MAX(0,B32-1))*139200+(0)*348000+(0)*696000)&lt;=50000000,100,300)))+MAX(0,ROUNDUP(((1)*80+(MAX(0,B32-1))*200+(0)*500+(0)*1000)/5000,0)-1)*25+IF(((1)*80+(MAX(0,B32-1))*200+(0)*500+(0)*1000)&gt;5000,32-10,0))*500,2)),2)</f>
        <v>34513.08</v>
      </c>
      <c r="E32" s="10">
        <f t="shared" si="1"/>
        <v>114247.54466666667</v>
      </c>
      <c r="F32" s="10">
        <f t="shared" si="2"/>
        <v>148760.62466666667</v>
      </c>
      <c r="G32" s="10">
        <f t="shared" si="3"/>
        <v>216239.37533333333</v>
      </c>
      <c r="H32" s="8" t="str">
        <f t="shared" si="4"/>
        <v>Ganancia</v>
      </c>
    </row>
  </sheetData>
  <mergeCells count="7">
    <mergeCell ref="B13:C13"/>
    <mergeCell ref="B6:C6"/>
    <mergeCell ref="B7:C7"/>
    <mergeCell ref="B14:C14"/>
    <mergeCell ref="B9:C9"/>
    <mergeCell ref="B8:C8"/>
    <mergeCell ref="B12:C12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41"/>
  <sheetViews>
    <sheetView topLeftCell="A26" workbookViewId="0">
      <selection activeCell="E29" sqref="E29"/>
    </sheetView>
  </sheetViews>
  <sheetFormatPr baseColWidth="10" defaultColWidth="8.88671875" defaultRowHeight="14.4" x14ac:dyDescent="0.3"/>
  <cols>
    <col min="1" max="1" width="12" customWidth="1"/>
    <col min="2" max="2" width="38" customWidth="1"/>
    <col min="3" max="4" width="18" customWidth="1"/>
    <col min="5" max="5" width="30.33203125" customWidth="1"/>
    <col min="6" max="6" width="25.6640625" customWidth="1"/>
    <col min="7" max="15" width="18" customWidth="1"/>
  </cols>
  <sheetData>
    <row r="2" spans="2:15" ht="21" customHeight="1" x14ac:dyDescent="0.4">
      <c r="B2" s="1" t="s">
        <v>0</v>
      </c>
    </row>
    <row r="3" spans="2:15" x14ac:dyDescent="0.3">
      <c r="B3" s="2" t="s">
        <v>1</v>
      </c>
    </row>
    <row r="5" spans="2:15" ht="17.399999999999999" customHeight="1" x14ac:dyDescent="0.35">
      <c r="B5" s="3" t="s">
        <v>2</v>
      </c>
    </row>
    <row r="6" spans="2:15" x14ac:dyDescent="0.3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2:15" x14ac:dyDescent="0.3">
      <c r="B7" s="27" t="s">
        <v>17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2:15" x14ac:dyDescent="0.3">
      <c r="B8" s="29" t="s">
        <v>18</v>
      </c>
      <c r="C8" s="7">
        <f>'Clientes e Ingresos'!H6</f>
        <v>115000</v>
      </c>
      <c r="D8" s="7">
        <f>'Clientes e Ingresos'!H7</f>
        <v>140000</v>
      </c>
      <c r="E8" s="7">
        <f>'Clientes e Ingresos'!H8</f>
        <v>165000</v>
      </c>
      <c r="F8" s="7">
        <f>'Clientes e Ingresos'!H9</f>
        <v>190000</v>
      </c>
      <c r="G8" s="7">
        <f>'Clientes e Ingresos'!H10</f>
        <v>215000</v>
      </c>
      <c r="H8" s="7">
        <f>'Clientes e Ingresos'!H11</f>
        <v>215000</v>
      </c>
      <c r="I8" s="7">
        <f>'Clientes e Ingresos'!H12</f>
        <v>240000</v>
      </c>
      <c r="J8" s="7">
        <f>'Clientes e Ingresos'!H13</f>
        <v>265000</v>
      </c>
      <c r="K8" s="7">
        <f>'Clientes e Ingresos'!H14</f>
        <v>290000</v>
      </c>
      <c r="L8" s="7">
        <f>'Clientes e Ingresos'!H15</f>
        <v>290000</v>
      </c>
      <c r="M8" s="7">
        <f>'Clientes e Ingresos'!H16</f>
        <v>315000</v>
      </c>
      <c r="N8" s="7">
        <f>'Clientes e Ingresos'!H17</f>
        <v>340000</v>
      </c>
      <c r="O8" s="20">
        <f>SUM(C8:N8)</f>
        <v>2780000</v>
      </c>
    </row>
    <row r="9" spans="2:15" x14ac:dyDescent="0.3">
      <c r="B9" s="29" t="s">
        <v>19</v>
      </c>
      <c r="C9" s="7">
        <f>MAX(40000,(SUM($C$15:C15)-SUM($C$8:C8)),(SUM($C$15:D15)-SUM($C$8:D8)),(SUM($C$15:E15)-SUM($C$8:E8)),(SUM($C$15:F15)-SUM($C$8:F8)),(SUM($C$15:G15)-SUM($C$8:G8)),(SUM($C$15:H15)-SUM($C$8:H8)),(SUM($C$15:I15)-SUM($C$8:I8)),(SUM($C$15:J15)-SUM($C$8:J8)),(SUM($C$15:K15)-SUM($C$8:K8)),(SUM($C$15:L15)-SUM($C$8:L8)),(SUM($C$15:M15)-SUM($C$8:M8)),(SUM($C$15:N15)-SUM($C$8:N8)))</f>
        <v>40000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20">
        <f>SUM(C9:N9)</f>
        <v>40000</v>
      </c>
    </row>
    <row r="10" spans="2:15" x14ac:dyDescent="0.3">
      <c r="B10" s="30" t="s">
        <v>20</v>
      </c>
      <c r="C10" s="20">
        <f t="shared" ref="C10:N10" si="0">SUM(C8:C9)</f>
        <v>155000</v>
      </c>
      <c r="D10" s="20">
        <f t="shared" si="0"/>
        <v>140000</v>
      </c>
      <c r="E10" s="20">
        <f t="shared" si="0"/>
        <v>165000</v>
      </c>
      <c r="F10" s="20">
        <f t="shared" si="0"/>
        <v>190000</v>
      </c>
      <c r="G10" s="20">
        <f t="shared" si="0"/>
        <v>215000</v>
      </c>
      <c r="H10" s="20">
        <f t="shared" si="0"/>
        <v>215000</v>
      </c>
      <c r="I10" s="20">
        <f t="shared" si="0"/>
        <v>240000</v>
      </c>
      <c r="J10" s="20">
        <f t="shared" si="0"/>
        <v>265000</v>
      </c>
      <c r="K10" s="20">
        <f t="shared" si="0"/>
        <v>290000</v>
      </c>
      <c r="L10" s="20">
        <f t="shared" si="0"/>
        <v>290000</v>
      </c>
      <c r="M10" s="20">
        <f t="shared" si="0"/>
        <v>315000</v>
      </c>
      <c r="N10" s="20">
        <f t="shared" si="0"/>
        <v>340000</v>
      </c>
      <c r="O10" s="20">
        <f>SUM(C10:N10)</f>
        <v>2820000</v>
      </c>
    </row>
    <row r="11" spans="2:15" x14ac:dyDescent="0.3">
      <c r="B11" s="27" t="s">
        <v>21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x14ac:dyDescent="0.3">
      <c r="B12" s="29" t="s">
        <v>22</v>
      </c>
      <c r="C12" s="7">
        <f>0</f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20">
        <f>SUM(C12:N12)</f>
        <v>0</v>
      </c>
    </row>
    <row r="13" spans="2:15" x14ac:dyDescent="0.3">
      <c r="B13" s="29" t="s">
        <v>23</v>
      </c>
      <c r="C13" s="7">
        <f>'Egresos e Inversión'!D35-(4+36)*(496838.17/30/8)</f>
        <v>109125</v>
      </c>
      <c r="D13" s="7">
        <f>'Egresos e Inversión'!D36-(4+12)*(496838.17/30/8)</f>
        <v>81125</v>
      </c>
      <c r="E13" s="7">
        <f>'Egresos e Inversión'!D37-(4+12)*(496838.17/30/8)</f>
        <v>81125</v>
      </c>
      <c r="F13" s="7">
        <f>'Egresos e Inversión'!D38-(4+12)*(496838.17/30/8)</f>
        <v>81125</v>
      </c>
      <c r="G13" s="7">
        <f>'Egresos e Inversión'!D39-(4+12)*(496838.17/30/8)</f>
        <v>81125</v>
      </c>
      <c r="H13" s="7">
        <f>'Egresos e Inversión'!D40-(4+12)*(496838.17/30/8)</f>
        <v>81125</v>
      </c>
      <c r="I13" s="7">
        <f>'Egresos e Inversión'!D41-(4+12)*(496838.17/30/8)</f>
        <v>81125</v>
      </c>
      <c r="J13" s="7">
        <f>'Egresos e Inversión'!D42-(4+12)*(496838.17/30/8)</f>
        <v>81125</v>
      </c>
      <c r="K13" s="7">
        <f>'Egresos e Inversión'!D43-(4+12)*(496838.17/30/8)</f>
        <v>81125</v>
      </c>
      <c r="L13" s="7">
        <f>'Egresos e Inversión'!D44-(4+12)*(496838.17/30/8)</f>
        <v>81125</v>
      </c>
      <c r="M13" s="7">
        <f>'Egresos e Inversión'!D45-(4+12)*(496838.17/30/8)</f>
        <v>81125</v>
      </c>
      <c r="N13" s="7">
        <f>'Egresos e Inversión'!D46-(4+12)*(496838.17/30/8)</f>
        <v>81125</v>
      </c>
      <c r="O13" s="20">
        <f>SUM(C13:N13)</f>
        <v>1001500</v>
      </c>
    </row>
    <row r="14" spans="2:15" x14ac:dyDescent="0.3">
      <c r="B14" s="29" t="s">
        <v>24</v>
      </c>
      <c r="C14" s="7">
        <f>'Egresos e Inversión'!E35-('Clientes e Ingresos'!F6*0.5+'Clientes e Ingresos'!D6*8)*(496838.17/30/8)</f>
        <v>1982.7899999999936</v>
      </c>
      <c r="D14" s="7">
        <f>'Egresos e Inversión'!E36-('Clientes e Ingresos'!F7*0.5+'Clientes e Ingresos'!D7*8)*(496838.17/30/8)</f>
        <v>2433.2000000000007</v>
      </c>
      <c r="E14" s="7">
        <f>'Egresos e Inversión'!E37-('Clientes e Ingresos'!F8*0.5+'Clientes e Ingresos'!D8*8)*(496838.17/30/8)</f>
        <v>2883.6100000000006</v>
      </c>
      <c r="F14" s="7">
        <f>'Egresos e Inversión'!E38-('Clientes e Ingresos'!F9*0.5+'Clientes e Ingresos'!D9*8)*(496838.17/30/8)</f>
        <v>13334.02</v>
      </c>
      <c r="G14" s="7">
        <f>'Egresos e Inversión'!E39-('Clientes e Ingresos'!F10*0.5+'Clientes e Ingresos'!D10*8)*(496838.17/30/8)</f>
        <v>13784.43</v>
      </c>
      <c r="H14" s="7">
        <f>'Egresos e Inversión'!E40-('Clientes e Ingresos'!F11*0.5+'Clientes e Ingresos'!D11*8)*(496838.17/30/8)</f>
        <v>13784.43</v>
      </c>
      <c r="I14" s="7">
        <f>'Egresos e Inversión'!E41-('Clientes e Ingresos'!F12*0.5+'Clientes e Ingresos'!D12*8)*(496838.17/30/8)</f>
        <v>14234.84</v>
      </c>
      <c r="J14" s="7">
        <f>'Egresos e Inversión'!E42-('Clientes e Ingresos'!F13*0.5+'Clientes e Ingresos'!D13*8)*(496838.17/30/8)</f>
        <v>17185.25</v>
      </c>
      <c r="K14" s="7">
        <f>'Egresos e Inversión'!E43-('Clientes e Ingresos'!F14*0.5+'Clientes e Ingresos'!D14*8)*(496838.17/30/8)</f>
        <v>17635.659999999996</v>
      </c>
      <c r="L14" s="7">
        <f>'Egresos e Inversión'!E44-('Clientes e Ingresos'!F15*0.5+'Clientes e Ingresos'!D15*8)*(496838.17/30/8)</f>
        <v>17635.659999999996</v>
      </c>
      <c r="M14" s="7">
        <f>'Egresos e Inversión'!E45-('Clientes e Ingresos'!F16*0.5+'Clientes e Ingresos'!D16*8)*(496838.17/30/8)</f>
        <v>18086.069999999996</v>
      </c>
      <c r="N14" s="7">
        <f>'Egresos e Inversión'!E46-('Clientes e Ingresos'!F17*0.5+'Clientes e Ingresos'!D17*8)*(496838.17/30/8)</f>
        <v>18536.480000000003</v>
      </c>
      <c r="O14" s="20">
        <f>SUM(C14:N14)</f>
        <v>151516.44</v>
      </c>
    </row>
    <row r="15" spans="2:15" x14ac:dyDescent="0.3">
      <c r="B15" s="30" t="s">
        <v>25</v>
      </c>
      <c r="C15" s="20">
        <f t="shared" ref="C15:N15" si="1">SUM(C12:C14)</f>
        <v>111107.79</v>
      </c>
      <c r="D15" s="20">
        <f t="shared" si="1"/>
        <v>83558.2</v>
      </c>
      <c r="E15" s="20">
        <f t="shared" si="1"/>
        <v>84008.61</v>
      </c>
      <c r="F15" s="20">
        <f t="shared" si="1"/>
        <v>94459.02</v>
      </c>
      <c r="G15" s="20">
        <f t="shared" si="1"/>
        <v>94909.43</v>
      </c>
      <c r="H15" s="20">
        <f t="shared" si="1"/>
        <v>94909.43</v>
      </c>
      <c r="I15" s="20">
        <f t="shared" si="1"/>
        <v>95359.84</v>
      </c>
      <c r="J15" s="20">
        <f t="shared" si="1"/>
        <v>98310.25</v>
      </c>
      <c r="K15" s="20">
        <f t="shared" si="1"/>
        <v>98760.66</v>
      </c>
      <c r="L15" s="20">
        <f t="shared" si="1"/>
        <v>98760.66</v>
      </c>
      <c r="M15" s="20">
        <f t="shared" si="1"/>
        <v>99211.069999999992</v>
      </c>
      <c r="N15" s="20">
        <f t="shared" si="1"/>
        <v>99661.48000000001</v>
      </c>
      <c r="O15" s="20">
        <f>SUM(C15:N15)</f>
        <v>1153016.44</v>
      </c>
    </row>
    <row r="16" spans="2:15" x14ac:dyDescent="0.3">
      <c r="B16" s="30" t="s">
        <v>26</v>
      </c>
      <c r="C16" s="20">
        <f t="shared" ref="C16:N16" si="2">C10-C15</f>
        <v>43892.210000000006</v>
      </c>
      <c r="D16" s="20">
        <f t="shared" si="2"/>
        <v>56441.8</v>
      </c>
      <c r="E16" s="20">
        <f t="shared" si="2"/>
        <v>80991.39</v>
      </c>
      <c r="F16" s="20">
        <f t="shared" si="2"/>
        <v>95540.98</v>
      </c>
      <c r="G16" s="20">
        <f t="shared" si="2"/>
        <v>120090.57</v>
      </c>
      <c r="H16" s="20">
        <f t="shared" si="2"/>
        <v>120090.57</v>
      </c>
      <c r="I16" s="20">
        <f t="shared" si="2"/>
        <v>144640.16</v>
      </c>
      <c r="J16" s="20">
        <f t="shared" si="2"/>
        <v>166689.75</v>
      </c>
      <c r="K16" s="20">
        <f t="shared" si="2"/>
        <v>191239.34</v>
      </c>
      <c r="L16" s="20">
        <f t="shared" si="2"/>
        <v>191239.34</v>
      </c>
      <c r="M16" s="20">
        <f t="shared" si="2"/>
        <v>215788.93</v>
      </c>
      <c r="N16" s="20">
        <f t="shared" si="2"/>
        <v>240338.52</v>
      </c>
      <c r="O16" s="20">
        <f>SUM(C16:N16)</f>
        <v>1666983.56</v>
      </c>
    </row>
    <row r="17" spans="2:15" x14ac:dyDescent="0.3">
      <c r="B17" s="30" t="s">
        <v>27</v>
      </c>
      <c r="C17" s="31">
        <f>C16</f>
        <v>43892.210000000006</v>
      </c>
      <c r="D17" s="31">
        <f t="shared" ref="D17:N17" si="3">C17+D16</f>
        <v>100334.01000000001</v>
      </c>
      <c r="E17" s="31">
        <f t="shared" si="3"/>
        <v>181325.40000000002</v>
      </c>
      <c r="F17" s="31">
        <f t="shared" si="3"/>
        <v>276866.38</v>
      </c>
      <c r="G17" s="31">
        <f t="shared" si="3"/>
        <v>396956.95</v>
      </c>
      <c r="H17" s="31">
        <f t="shared" si="3"/>
        <v>517047.52</v>
      </c>
      <c r="I17" s="31">
        <f t="shared" si="3"/>
        <v>661687.68000000005</v>
      </c>
      <c r="J17" s="31">
        <f t="shared" si="3"/>
        <v>828377.43</v>
      </c>
      <c r="K17" s="31">
        <f t="shared" si="3"/>
        <v>1019616.77</v>
      </c>
      <c r="L17" s="31">
        <f t="shared" si="3"/>
        <v>1210856.1100000001</v>
      </c>
      <c r="M17" s="31">
        <f t="shared" si="3"/>
        <v>1426645.04</v>
      </c>
      <c r="N17" s="31">
        <f t="shared" si="3"/>
        <v>1666983.56</v>
      </c>
      <c r="O17" s="20">
        <f>N17</f>
        <v>1666983.56</v>
      </c>
    </row>
    <row r="20" spans="2:15" ht="17.399999999999999" customHeight="1" x14ac:dyDescent="0.35">
      <c r="B20" s="3" t="s">
        <v>28</v>
      </c>
    </row>
    <row r="21" spans="2:15" x14ac:dyDescent="0.3">
      <c r="B21" s="16" t="s">
        <v>29</v>
      </c>
      <c r="C21" s="17" t="s">
        <v>30</v>
      </c>
      <c r="D21" s="17" t="s">
        <v>31</v>
      </c>
    </row>
    <row r="22" spans="2:15" x14ac:dyDescent="0.3">
      <c r="B22" s="18" t="s">
        <v>32</v>
      </c>
      <c r="C22" s="7">
        <f>'Clientes e Ingresos'!H18</f>
        <v>2780000</v>
      </c>
      <c r="D22" s="32">
        <v>1</v>
      </c>
    </row>
    <row r="23" spans="2:15" x14ac:dyDescent="0.3">
      <c r="B23" s="33" t="s">
        <v>33</v>
      </c>
      <c r="C23" s="10">
        <f>'Egresos e Inversión'!E47</f>
        <v>536566.02174999996</v>
      </c>
      <c r="D23" s="34">
        <f>C23/C22</f>
        <v>0.19300936034172661</v>
      </c>
    </row>
    <row r="24" spans="2:15" x14ac:dyDescent="0.3">
      <c r="B24" s="27" t="s">
        <v>34</v>
      </c>
      <c r="C24" s="25">
        <f>C22-C23</f>
        <v>2243433.9782500002</v>
      </c>
      <c r="D24" s="35">
        <f>C24/C22</f>
        <v>0.80699063965827345</v>
      </c>
    </row>
    <row r="25" spans="2:15" x14ac:dyDescent="0.3">
      <c r="B25" s="44" t="s">
        <v>35</v>
      </c>
      <c r="C25" s="10">
        <f>'Egresos e Inversión'!D47</f>
        <v>1448654.3530000004</v>
      </c>
      <c r="D25" s="34">
        <f>C25/C22</f>
        <v>0.52109868812949656</v>
      </c>
    </row>
    <row r="26" spans="2:15" x14ac:dyDescent="0.3">
      <c r="B26" s="18" t="s">
        <v>36</v>
      </c>
      <c r="C26" s="7">
        <f>C24-C25</f>
        <v>794779.62524999981</v>
      </c>
      <c r="D26" s="32">
        <f>C26/C22</f>
        <v>0.28589195152877689</v>
      </c>
    </row>
    <row r="27" spans="2:15" x14ac:dyDescent="0.3">
      <c r="B27" s="33" t="s">
        <v>37</v>
      </c>
      <c r="C27" s="10">
        <f>'Egresos e Inversión'!D12</f>
        <v>198735.26799999998</v>
      </c>
      <c r="D27" s="34">
        <f>C27/C22</f>
        <v>7.1487506474820134E-2</v>
      </c>
    </row>
    <row r="28" spans="2:15" x14ac:dyDescent="0.3">
      <c r="B28" s="27" t="s">
        <v>38</v>
      </c>
      <c r="C28" s="25">
        <f>C26-C27</f>
        <v>596044.35724999988</v>
      </c>
      <c r="D28" s="35">
        <f>C28/C22</f>
        <v>0.21440444505395678</v>
      </c>
    </row>
    <row r="29" spans="2:15" x14ac:dyDescent="0.3">
      <c r="B29" s="33" t="s">
        <v>39</v>
      </c>
      <c r="C29" s="10">
        <f>0</f>
        <v>0</v>
      </c>
      <c r="D29" s="34">
        <f>IFERROR(C29/C22,0)</f>
        <v>0</v>
      </c>
      <c r="E29" t="s">
        <v>40</v>
      </c>
    </row>
    <row r="30" spans="2:15" x14ac:dyDescent="0.3">
      <c r="B30" s="36" t="s">
        <v>41</v>
      </c>
      <c r="C30" s="37">
        <f>C28-C29</f>
        <v>596044.35724999988</v>
      </c>
      <c r="D30" s="38">
        <f>C30/C22</f>
        <v>0.21440444505395678</v>
      </c>
    </row>
    <row r="32" spans="2:15" ht="17.399999999999999" customHeight="1" x14ac:dyDescent="0.35">
      <c r="B32" s="3" t="s">
        <v>42</v>
      </c>
    </row>
    <row r="33" spans="2:6" x14ac:dyDescent="0.3">
      <c r="B33" s="16" t="s">
        <v>43</v>
      </c>
      <c r="C33" s="17" t="s">
        <v>44</v>
      </c>
      <c r="E33" s="39" t="s">
        <v>43</v>
      </c>
      <c r="F33" s="40" t="s">
        <v>44</v>
      </c>
    </row>
    <row r="34" spans="2:6" x14ac:dyDescent="0.3">
      <c r="B34" s="41" t="s">
        <v>45</v>
      </c>
      <c r="C34" s="42"/>
      <c r="E34" s="41" t="s">
        <v>46</v>
      </c>
      <c r="F34" s="42"/>
    </row>
    <row r="35" spans="2:6" x14ac:dyDescent="0.3">
      <c r="B35" s="18" t="s">
        <v>47</v>
      </c>
      <c r="C35" s="7">
        <f>N17</f>
        <v>1666983.56</v>
      </c>
      <c r="E35" s="18" t="s">
        <v>48</v>
      </c>
      <c r="F35" s="7">
        <f>0</f>
        <v>0</v>
      </c>
    </row>
    <row r="36" spans="2:6" x14ac:dyDescent="0.3">
      <c r="B36" s="27" t="s">
        <v>49</v>
      </c>
      <c r="C36" s="25">
        <f>C35</f>
        <v>1666983.56</v>
      </c>
      <c r="E36" s="27" t="s">
        <v>50</v>
      </c>
      <c r="F36" s="25">
        <f>F35</f>
        <v>0</v>
      </c>
    </row>
    <row r="37" spans="2:6" x14ac:dyDescent="0.3">
      <c r="B37" s="41" t="s">
        <v>51</v>
      </c>
      <c r="C37" s="42"/>
      <c r="E37" s="41" t="s">
        <v>52</v>
      </c>
      <c r="F37" s="42"/>
    </row>
    <row r="38" spans="2:6" x14ac:dyDescent="0.3">
      <c r="B38" s="18" t="s">
        <v>53</v>
      </c>
      <c r="C38" s="7">
        <f>0</f>
        <v>0</v>
      </c>
      <c r="E38" s="18" t="s">
        <v>54</v>
      </c>
      <c r="F38" s="7">
        <f>C9+'Egresos e Inversión'!D12+'Egresos e Inversión'!D47+'Egresos e Inversión'!E47-O15</f>
        <v>1070939.2027500002</v>
      </c>
    </row>
    <row r="39" spans="2:6" x14ac:dyDescent="0.3">
      <c r="B39" s="18" t="s">
        <v>55</v>
      </c>
      <c r="C39" s="7">
        <f>0</f>
        <v>0</v>
      </c>
      <c r="E39" s="18" t="s">
        <v>56</v>
      </c>
      <c r="F39" s="7">
        <f>C30</f>
        <v>596044.35724999988</v>
      </c>
    </row>
    <row r="40" spans="2:6" x14ac:dyDescent="0.3">
      <c r="B40" s="27" t="s">
        <v>57</v>
      </c>
      <c r="C40" s="25">
        <f>C38-C39</f>
        <v>0</v>
      </c>
      <c r="E40" s="27" t="s">
        <v>58</v>
      </c>
      <c r="F40" s="25">
        <f>F38+F39</f>
        <v>1666983.56</v>
      </c>
    </row>
    <row r="41" spans="2:6" x14ac:dyDescent="0.3">
      <c r="B41" s="36" t="s">
        <v>59</v>
      </c>
      <c r="C41" s="37">
        <f>C36+C40</f>
        <v>1666983.56</v>
      </c>
      <c r="E41" s="36" t="s">
        <v>60</v>
      </c>
      <c r="F41" s="37">
        <f>F36+F40</f>
        <v>1666983.56</v>
      </c>
    </row>
  </sheetData>
  <hyperlinks>
    <hyperlink ref="E29" r:id="rId1" xr:uid="{00000000-0004-0000-0400-000000000000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Ejecutivo</vt:lpstr>
      <vt:lpstr>Clientes e Ingresos</vt:lpstr>
      <vt:lpstr>Egresos e Inversión</vt:lpstr>
      <vt:lpstr>Punto de Equilibrio</vt:lpstr>
      <vt:lpstr>Estados Financieros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Derian Acuña Rojas</cp:lastModifiedBy>
  <dcterms:created xsi:type="dcterms:W3CDTF">2026-09-02T16:52:47Z</dcterms:created>
  <dcterms:modified xsi:type="dcterms:W3CDTF">2026-10-08T14:29:59Z</dcterms:modified>
</cp:coreProperties>
</file>