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royectoappgym\docs\gymhub_expotecnica\modelo_negocios\originales\"/>
    </mc:Choice>
  </mc:AlternateContent>
  <xr:revisionPtr revIDLastSave="0" documentId="13_ncr:1_{D1932208-2D16-4775-A576-E3871BEEAA12}" xr6:coauthVersionLast="47" xr6:coauthVersionMax="47" xr10:uidLastSave="{00000000-0000-0000-0000-000000000000}"/>
  <bookViews>
    <workbookView xWindow="11784" yWindow="3348" windowWidth="11256" windowHeight="8880" activeTab="1" xr2:uid="{00000000-000D-0000-FFFF-FFFF00000000}"/>
  </bookViews>
  <sheets>
    <sheet name="PPTO Vtas Productos" sheetId="1" r:id="rId1"/>
    <sheet name="Costeo" sheetId="2" r:id="rId2"/>
    <sheet name="PPTO Vtas Servicios" sheetId="3" r:id="rId3"/>
    <sheet name="Estructura de Precios" sheetId="4" r:id="rId4"/>
    <sheet name="Análisis de Competencia" sheetId="5" r:id="rId5"/>
    <sheet name="Rentabilidad" sheetId="6" r:id="rId6"/>
  </sheets>
  <definedNames>
    <definedName name="_xlnm.Print_Area" localSheetId="4">'Análisis de Competencia'!$A$1:$F$8</definedName>
    <definedName name="_xlnm.Print_Area" localSheetId="1">Costeo!$A$1:$E$120</definedName>
    <definedName name="_xlnm.Print_Area" localSheetId="3">'Estructura de Precios'!$A$1:$M$34</definedName>
    <definedName name="_xlnm.Print_Area" localSheetId="0">'PPTO Vtas Productos'!$A$1:$B$12</definedName>
    <definedName name="_xlnm.Print_Area" localSheetId="2">'PPTO Vtas Servicios'!$A$1:$O$37</definedName>
    <definedName name="_xlnm.Print_Area" localSheetId="5">Rentabilidad!$A$1:$L$14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B10" i="1"/>
  <c r="C12" i="6"/>
  <c r="A12" i="6"/>
  <c r="C11" i="6"/>
  <c r="A11" i="6"/>
  <c r="C10" i="6"/>
  <c r="A10" i="6"/>
  <c r="C9" i="6"/>
  <c r="B9" i="6"/>
  <c r="A9" i="6"/>
  <c r="C8" i="6"/>
  <c r="B8" i="6"/>
  <c r="A8" i="6"/>
  <c r="A7" i="6"/>
  <c r="A6" i="6"/>
  <c r="A5" i="6"/>
  <c r="A2" i="6"/>
  <c r="F8" i="5"/>
  <c r="D8" i="5"/>
  <c r="A8" i="5"/>
  <c r="E7" i="5"/>
  <c r="D7" i="5"/>
  <c r="A7" i="5"/>
  <c r="E6" i="5"/>
  <c r="C6" i="5"/>
  <c r="A6" i="5"/>
  <c r="E5" i="5"/>
  <c r="C5" i="5"/>
  <c r="A5" i="5"/>
  <c r="A36" i="3"/>
  <c r="A35" i="3"/>
  <c r="A34" i="3"/>
  <c r="A33" i="3"/>
  <c r="A32" i="3"/>
  <c r="A31" i="3"/>
  <c r="A30" i="3"/>
  <c r="A29" i="3"/>
  <c r="B23" i="3"/>
  <c r="A23" i="3"/>
  <c r="B22" i="3"/>
  <c r="A22" i="3"/>
  <c r="B21" i="3"/>
  <c r="A21" i="3"/>
  <c r="B20" i="3"/>
  <c r="A20" i="3"/>
  <c r="A19" i="3"/>
  <c r="A18" i="3"/>
  <c r="A17" i="3"/>
  <c r="A16" i="3"/>
  <c r="N15" i="3"/>
  <c r="N28" i="3" s="1"/>
  <c r="M15" i="3"/>
  <c r="M28" i="3" s="1"/>
  <c r="L15" i="3"/>
  <c r="L28" i="3" s="1"/>
  <c r="K15" i="3"/>
  <c r="K28" i="3" s="1"/>
  <c r="J15" i="3"/>
  <c r="J28" i="3" s="1"/>
  <c r="I15" i="3"/>
  <c r="I28" i="3" s="1"/>
  <c r="H15" i="3"/>
  <c r="H28" i="3" s="1"/>
  <c r="G15" i="3"/>
  <c r="G28" i="3" s="1"/>
  <c r="F15" i="3"/>
  <c r="F28" i="3" s="1"/>
  <c r="E15" i="3"/>
  <c r="E28" i="3" s="1"/>
  <c r="D15" i="3"/>
  <c r="D28" i="3" s="1"/>
  <c r="C15" i="3"/>
  <c r="C28" i="3" s="1"/>
  <c r="O14" i="3"/>
  <c r="B12" i="6" s="1"/>
  <c r="O13" i="3"/>
  <c r="B11" i="6" s="1"/>
  <c r="O12" i="3"/>
  <c r="O11" i="3"/>
  <c r="O10" i="3"/>
  <c r="B10" i="3"/>
  <c r="O9" i="3"/>
  <c r="B7" i="6" s="1"/>
  <c r="B9" i="3"/>
  <c r="O8" i="3"/>
  <c r="B6" i="6" s="1"/>
  <c r="B8" i="3"/>
  <c r="O7" i="3"/>
  <c r="B5" i="6" s="1"/>
  <c r="B7" i="3"/>
  <c r="A2" i="3"/>
  <c r="E120" i="2"/>
  <c r="E119" i="2"/>
  <c r="E118" i="2"/>
  <c r="E115" i="2"/>
  <c r="E114" i="2"/>
  <c r="E116" i="2" s="1"/>
  <c r="E117" i="2" s="1"/>
  <c r="E113" i="2"/>
  <c r="E112" i="2"/>
  <c r="E111" i="2"/>
  <c r="A108" i="2"/>
  <c r="E105" i="2"/>
  <c r="E104" i="2"/>
  <c r="E103" i="2"/>
  <c r="E102" i="2"/>
  <c r="E101" i="2"/>
  <c r="E100" i="2"/>
  <c r="E99" i="2"/>
  <c r="E98" i="2"/>
  <c r="E97" i="2"/>
  <c r="E96" i="2"/>
  <c r="E106" i="2" s="1"/>
  <c r="E107" i="2" s="1"/>
  <c r="A93" i="2"/>
  <c r="E92" i="2"/>
  <c r="E91" i="2"/>
  <c r="E90" i="2"/>
  <c r="E87" i="2"/>
  <c r="E86" i="2"/>
  <c r="E85" i="2"/>
  <c r="E84" i="2"/>
  <c r="E83" i="2"/>
  <c r="E88" i="2" s="1"/>
  <c r="E89" i="2" s="1"/>
  <c r="A80" i="2"/>
  <c r="E78" i="2"/>
  <c r="E75" i="2"/>
  <c r="E74" i="2"/>
  <c r="E73" i="2"/>
  <c r="E72" i="2"/>
  <c r="E71" i="2"/>
  <c r="E76" i="2" s="1"/>
  <c r="E77" i="2" s="1"/>
  <c r="A68" i="2"/>
  <c r="E65" i="2"/>
  <c r="E62" i="2"/>
  <c r="E63" i="2" s="1"/>
  <c r="E58" i="2"/>
  <c r="E57" i="2"/>
  <c r="E56" i="2"/>
  <c r="E55" i="2"/>
  <c r="E54" i="2"/>
  <c r="E59" i="2" s="1"/>
  <c r="E64" i="2" s="1"/>
  <c r="B32" i="3" s="1"/>
  <c r="A51" i="2"/>
  <c r="E48" i="2"/>
  <c r="E45" i="2"/>
  <c r="E46" i="2" s="1"/>
  <c r="E41" i="2"/>
  <c r="E40" i="2"/>
  <c r="E39" i="2"/>
  <c r="E38" i="2"/>
  <c r="E37" i="2"/>
  <c r="E42" i="2" s="1"/>
  <c r="A34" i="2"/>
  <c r="E31" i="2"/>
  <c r="E28" i="2"/>
  <c r="E29" i="2" s="1"/>
  <c r="E24" i="2"/>
  <c r="E23" i="2"/>
  <c r="E22" i="2"/>
  <c r="E25" i="2" s="1"/>
  <c r="E30" i="2" s="1"/>
  <c r="B30" i="3" s="1"/>
  <c r="A19" i="2"/>
  <c r="E16" i="2"/>
  <c r="E14" i="2"/>
  <c r="E13" i="2"/>
  <c r="E8" i="2"/>
  <c r="E7" i="2"/>
  <c r="E10" i="2" s="1"/>
  <c r="E15" i="2" s="1"/>
  <c r="B29" i="3" s="1"/>
  <c r="A4" i="2"/>
  <c r="A2" i="2"/>
  <c r="B12" i="1"/>
  <c r="B21" i="4"/>
  <c r="J19" i="4"/>
  <c r="I19" i="4"/>
  <c r="C19" i="4"/>
  <c r="A19" i="4"/>
  <c r="J18" i="4"/>
  <c r="I18" i="4"/>
  <c r="C18" i="4"/>
  <c r="A18" i="4"/>
  <c r="J17" i="4"/>
  <c r="C17" i="4"/>
  <c r="A17" i="4"/>
  <c r="J16" i="4"/>
  <c r="C16" i="4"/>
  <c r="A16" i="4"/>
  <c r="B11" i="4"/>
  <c r="E6" i="4"/>
  <c r="E5" i="4"/>
  <c r="A2" i="4"/>
  <c r="E23" i="3" l="1"/>
  <c r="G23" i="3"/>
  <c r="F23" i="3"/>
  <c r="H23" i="3"/>
  <c r="I23" i="3"/>
  <c r="N23" i="3"/>
  <c r="J23" i="3"/>
  <c r="K23" i="3"/>
  <c r="C23" i="3"/>
  <c r="L23" i="3"/>
  <c r="M23" i="3"/>
  <c r="D23" i="3"/>
  <c r="M22" i="3"/>
  <c r="C22" i="3"/>
  <c r="N22" i="3"/>
  <c r="L22" i="3"/>
  <c r="K22" i="3"/>
  <c r="J22" i="3"/>
  <c r="I22" i="3"/>
  <c r="H22" i="3"/>
  <c r="G22" i="3"/>
  <c r="F22" i="3"/>
  <c r="E22" i="3"/>
  <c r="D22" i="3"/>
  <c r="K21" i="3"/>
  <c r="L21" i="3"/>
  <c r="N21" i="3"/>
  <c r="C21" i="3"/>
  <c r="D21" i="3"/>
  <c r="E21" i="3"/>
  <c r="F21" i="3"/>
  <c r="G21" i="3"/>
  <c r="H21" i="3"/>
  <c r="M21" i="3"/>
  <c r="I21" i="3"/>
  <c r="J21" i="3"/>
  <c r="N20" i="3"/>
  <c r="M20" i="3"/>
  <c r="L20" i="3"/>
  <c r="K20" i="3"/>
  <c r="J20" i="3"/>
  <c r="I20" i="3"/>
  <c r="H20" i="3"/>
  <c r="G20" i="3"/>
  <c r="F20" i="3"/>
  <c r="E20" i="3"/>
  <c r="D20" i="3"/>
  <c r="C20" i="3"/>
  <c r="B10" i="6"/>
  <c r="B8" i="5"/>
  <c r="B19" i="3"/>
  <c r="B7" i="5"/>
  <c r="F7" i="5" s="1"/>
  <c r="C7" i="6"/>
  <c r="B18" i="3"/>
  <c r="C6" i="6"/>
  <c r="E6" i="6" s="1"/>
  <c r="B6" i="5"/>
  <c r="B17" i="3"/>
  <c r="C5" i="6"/>
  <c r="E5" i="6" s="1"/>
  <c r="B5" i="5"/>
  <c r="B16" i="3"/>
  <c r="B36" i="3"/>
  <c r="H19" i="4"/>
  <c r="F16" i="4"/>
  <c r="F17" i="4"/>
  <c r="F18" i="4"/>
  <c r="F19" i="4"/>
  <c r="B24" i="4"/>
  <c r="B35" i="3"/>
  <c r="B34" i="3"/>
  <c r="E7" i="4"/>
  <c r="H18" i="4"/>
  <c r="B33" i="3"/>
  <c r="H16" i="4"/>
  <c r="L16" i="4" s="1"/>
  <c r="H17" i="4"/>
  <c r="L17" i="4" s="1"/>
  <c r="E66" i="2"/>
  <c r="E67" i="2"/>
  <c r="C32" i="3"/>
  <c r="O32" i="3" s="1"/>
  <c r="H8" i="6" s="1"/>
  <c r="D32" i="3"/>
  <c r="E32" i="3"/>
  <c r="F32" i="3"/>
  <c r="G32" i="3"/>
  <c r="H32" i="3"/>
  <c r="I32" i="3"/>
  <c r="J32" i="3"/>
  <c r="K32" i="3"/>
  <c r="L32" i="3"/>
  <c r="M32" i="3"/>
  <c r="N32" i="3"/>
  <c r="D8" i="6"/>
  <c r="E8" i="6" s="1"/>
  <c r="B19" i="4"/>
  <c r="E32" i="2"/>
  <c r="E33" i="2"/>
  <c r="C30" i="3"/>
  <c r="O30" i="3" s="1"/>
  <c r="H6" i="6" s="1"/>
  <c r="D30" i="3"/>
  <c r="E30" i="3"/>
  <c r="F30" i="3"/>
  <c r="G30" i="3"/>
  <c r="H30" i="3"/>
  <c r="I30" i="3"/>
  <c r="J30" i="3"/>
  <c r="K30" i="3"/>
  <c r="L30" i="3"/>
  <c r="M30" i="3"/>
  <c r="N30" i="3"/>
  <c r="D6" i="6"/>
  <c r="B17" i="4"/>
  <c r="E17" i="2"/>
  <c r="E18" i="2"/>
  <c r="C29" i="3"/>
  <c r="D29" i="3"/>
  <c r="E29" i="3"/>
  <c r="F29" i="3"/>
  <c r="G29" i="3"/>
  <c r="H29" i="3"/>
  <c r="I29" i="3"/>
  <c r="J29" i="3"/>
  <c r="K29" i="3"/>
  <c r="L29" i="3"/>
  <c r="M29" i="3"/>
  <c r="N29" i="3"/>
  <c r="D5" i="6"/>
  <c r="B16" i="4"/>
  <c r="E19" i="4"/>
  <c r="D19" i="4"/>
  <c r="D17" i="4"/>
  <c r="E17" i="4" s="1"/>
  <c r="B20" i="4"/>
  <c r="M19" i="4"/>
  <c r="M18" i="4"/>
  <c r="M17" i="4"/>
  <c r="M16" i="4"/>
  <c r="D16" i="4"/>
  <c r="E16" i="4" s="1"/>
  <c r="E79" i="2"/>
  <c r="E47" i="2"/>
  <c r="C19" i="3" l="1"/>
  <c r="D19" i="3"/>
  <c r="E19" i="3"/>
  <c r="F19" i="3"/>
  <c r="G19" i="3"/>
  <c r="H19" i="3"/>
  <c r="I19" i="3"/>
  <c r="J19" i="3"/>
  <c r="K19" i="3"/>
  <c r="L19" i="3"/>
  <c r="M19" i="3"/>
  <c r="N19" i="3"/>
  <c r="C18" i="3"/>
  <c r="D18" i="3"/>
  <c r="E18" i="3"/>
  <c r="F18" i="3"/>
  <c r="G18" i="3"/>
  <c r="H18" i="3"/>
  <c r="I18" i="3"/>
  <c r="J18" i="3"/>
  <c r="K18" i="3"/>
  <c r="L18" i="3"/>
  <c r="M18" i="3"/>
  <c r="N18" i="3"/>
  <c r="D6" i="5"/>
  <c r="F6" i="5"/>
  <c r="C17" i="3"/>
  <c r="D17" i="3"/>
  <c r="E17" i="3"/>
  <c r="F17" i="3"/>
  <c r="G17" i="3"/>
  <c r="H17" i="3"/>
  <c r="I17" i="3"/>
  <c r="J17" i="3"/>
  <c r="K17" i="3"/>
  <c r="L17" i="3"/>
  <c r="M17" i="3"/>
  <c r="N17" i="3"/>
  <c r="D5" i="5"/>
  <c r="F5" i="5"/>
  <c r="C16" i="3"/>
  <c r="D16" i="3"/>
  <c r="E16" i="3"/>
  <c r="F16" i="3"/>
  <c r="G16" i="3"/>
  <c r="H16" i="3"/>
  <c r="I16" i="3"/>
  <c r="J16" i="3"/>
  <c r="K16" i="3"/>
  <c r="L16" i="3"/>
  <c r="M16" i="3"/>
  <c r="N16" i="3"/>
  <c r="C36" i="3"/>
  <c r="D36" i="3"/>
  <c r="E36" i="3"/>
  <c r="F36" i="3"/>
  <c r="G36" i="3"/>
  <c r="H36" i="3"/>
  <c r="I36" i="3"/>
  <c r="J36" i="3"/>
  <c r="K36" i="3"/>
  <c r="L36" i="3"/>
  <c r="M36" i="3"/>
  <c r="N36" i="3"/>
  <c r="D12" i="6"/>
  <c r="E12" i="6" s="1"/>
  <c r="C35" i="3"/>
  <c r="D35" i="3"/>
  <c r="E35" i="3"/>
  <c r="F35" i="3"/>
  <c r="G35" i="3"/>
  <c r="H35" i="3"/>
  <c r="I35" i="3"/>
  <c r="J35" i="3"/>
  <c r="K35" i="3"/>
  <c r="L35" i="3"/>
  <c r="M35" i="3"/>
  <c r="N35" i="3"/>
  <c r="D11" i="6"/>
  <c r="E11" i="6" s="1"/>
  <c r="C34" i="3"/>
  <c r="O34" i="3" s="1"/>
  <c r="H10" i="6" s="1"/>
  <c r="D34" i="3"/>
  <c r="E34" i="3"/>
  <c r="F34" i="3"/>
  <c r="G34" i="3"/>
  <c r="H34" i="3"/>
  <c r="I34" i="3"/>
  <c r="J34" i="3"/>
  <c r="K34" i="3"/>
  <c r="L34" i="3"/>
  <c r="M34" i="3"/>
  <c r="N34" i="3"/>
  <c r="D10" i="6"/>
  <c r="E10" i="6" s="1"/>
  <c r="C33" i="3"/>
  <c r="D33" i="3"/>
  <c r="E33" i="3"/>
  <c r="F33" i="3"/>
  <c r="G33" i="3"/>
  <c r="H33" i="3"/>
  <c r="I33" i="3"/>
  <c r="J33" i="3"/>
  <c r="K33" i="3"/>
  <c r="L33" i="3"/>
  <c r="M33" i="3"/>
  <c r="N33" i="3"/>
  <c r="D9" i="6"/>
  <c r="E9" i="6" s="1"/>
  <c r="O29" i="3"/>
  <c r="H5" i="6" s="1"/>
  <c r="G19" i="4"/>
  <c r="K19" i="4"/>
  <c r="G17" i="4"/>
  <c r="I17" i="4"/>
  <c r="K17" i="4"/>
  <c r="G16" i="4"/>
  <c r="I16" i="4"/>
  <c r="K16" i="4"/>
  <c r="O21" i="3"/>
  <c r="F10" i="6" s="1"/>
  <c r="O20" i="3"/>
  <c r="F9" i="6" s="1"/>
  <c r="B26" i="4"/>
  <c r="B12" i="4" s="1"/>
  <c r="O22" i="3"/>
  <c r="F11" i="6" s="1"/>
  <c r="O23" i="3"/>
  <c r="F12" i="6" s="1"/>
  <c r="B31" i="3"/>
  <c r="E49" i="2"/>
  <c r="E50" i="2" s="1"/>
  <c r="O16" i="3" l="1"/>
  <c r="F5" i="6" s="1"/>
  <c r="C24" i="3"/>
  <c r="K10" i="6"/>
  <c r="J10" i="6"/>
  <c r="K9" i="6"/>
  <c r="J9" i="6"/>
  <c r="K11" i="6"/>
  <c r="J11" i="6"/>
  <c r="K12" i="6"/>
  <c r="J12" i="6"/>
  <c r="C31" i="3"/>
  <c r="D31" i="3"/>
  <c r="D37" i="3" s="1"/>
  <c r="D25" i="3" s="1"/>
  <c r="E31" i="3"/>
  <c r="E37" i="3" s="1"/>
  <c r="E25" i="3" s="1"/>
  <c r="F31" i="3"/>
  <c r="F37" i="3" s="1"/>
  <c r="F25" i="3" s="1"/>
  <c r="G31" i="3"/>
  <c r="G37" i="3" s="1"/>
  <c r="G25" i="3" s="1"/>
  <c r="H31" i="3"/>
  <c r="H37" i="3" s="1"/>
  <c r="H25" i="3" s="1"/>
  <c r="I31" i="3"/>
  <c r="I37" i="3" s="1"/>
  <c r="I25" i="3" s="1"/>
  <c r="J31" i="3"/>
  <c r="J37" i="3" s="1"/>
  <c r="J25" i="3" s="1"/>
  <c r="K31" i="3"/>
  <c r="K37" i="3" s="1"/>
  <c r="K25" i="3" s="1"/>
  <c r="L31" i="3"/>
  <c r="L37" i="3" s="1"/>
  <c r="L25" i="3" s="1"/>
  <c r="M31" i="3"/>
  <c r="M37" i="3" s="1"/>
  <c r="M25" i="3" s="1"/>
  <c r="N31" i="3"/>
  <c r="N37" i="3" s="1"/>
  <c r="N25" i="3" s="1"/>
  <c r="D7" i="6"/>
  <c r="E7" i="6" s="1"/>
  <c r="B18" i="4"/>
  <c r="B37" i="3"/>
  <c r="O17" i="3"/>
  <c r="F6" i="6" s="1"/>
  <c r="D24" i="3"/>
  <c r="D26" i="3" s="1"/>
  <c r="D27" i="3" s="1"/>
  <c r="E24" i="3"/>
  <c r="E26" i="3" s="1"/>
  <c r="E27" i="3" s="1"/>
  <c r="F24" i="3"/>
  <c r="F26" i="3" s="1"/>
  <c r="F27" i="3" s="1"/>
  <c r="G24" i="3"/>
  <c r="G26" i="3" s="1"/>
  <c r="G27" i="3" s="1"/>
  <c r="H24" i="3"/>
  <c r="H26" i="3" s="1"/>
  <c r="H27" i="3" s="1"/>
  <c r="I24" i="3"/>
  <c r="I26" i="3" s="1"/>
  <c r="I27" i="3" s="1"/>
  <c r="J24" i="3"/>
  <c r="J26" i="3" s="1"/>
  <c r="J27" i="3" s="1"/>
  <c r="K24" i="3"/>
  <c r="L24" i="3"/>
  <c r="M24" i="3"/>
  <c r="N24" i="3"/>
  <c r="O36" i="3"/>
  <c r="H12" i="6" s="1"/>
  <c r="O35" i="3"/>
  <c r="H11" i="6" s="1"/>
  <c r="O19" i="3"/>
  <c r="F8" i="6" s="1"/>
  <c r="O18" i="3"/>
  <c r="F7" i="6" s="1"/>
  <c r="O33" i="3"/>
  <c r="H9" i="6" s="1"/>
  <c r="J5" i="6" l="1"/>
  <c r="K5" i="6"/>
  <c r="F13" i="6"/>
  <c r="F14" i="6" s="1"/>
  <c r="O24" i="3"/>
  <c r="C37" i="3"/>
  <c r="C26" i="3" s="1"/>
  <c r="O31" i="3"/>
  <c r="H7" i="6" s="1"/>
  <c r="B22" i="4"/>
  <c r="B23" i="4" s="1"/>
  <c r="B25" i="4" s="1"/>
  <c r="B13" i="4" s="1"/>
  <c r="D18" i="4"/>
  <c r="J6" i="6"/>
  <c r="K6" i="6" s="1"/>
  <c r="K8" i="6"/>
  <c r="J8" i="6"/>
  <c r="K7" i="6"/>
  <c r="K26" i="3"/>
  <c r="K27" i="3" s="1"/>
  <c r="L26" i="3"/>
  <c r="L27" i="3" s="1"/>
  <c r="M26" i="3"/>
  <c r="M27" i="3" s="1"/>
  <c r="N26" i="3"/>
  <c r="N27" i="3" s="1"/>
  <c r="G5" i="6" l="1"/>
  <c r="G6" i="6"/>
  <c r="G7" i="6"/>
  <c r="G8" i="6"/>
  <c r="G9" i="6"/>
  <c r="G10" i="6"/>
  <c r="G11" i="6"/>
  <c r="G12" i="6"/>
  <c r="G13" i="6"/>
  <c r="G14" i="6" s="1"/>
  <c r="B27" i="4"/>
  <c r="B33" i="4" s="1"/>
  <c r="C27" i="3"/>
  <c r="C25" i="3"/>
  <c r="O37" i="3"/>
  <c r="K18" i="4"/>
  <c r="G18" i="4"/>
  <c r="E18" i="4"/>
  <c r="H13" i="6"/>
  <c r="H14" i="6" s="1"/>
  <c r="J7" i="6"/>
  <c r="J13" i="6" s="1"/>
  <c r="O26" i="3" l="1"/>
  <c r="O25" i="3"/>
  <c r="I5" i="6"/>
  <c r="I6" i="6"/>
  <c r="I7" i="6"/>
  <c r="I8" i="6"/>
  <c r="I9" i="6"/>
  <c r="I10" i="6"/>
  <c r="I11" i="6"/>
  <c r="I12" i="6"/>
  <c r="I13" i="6"/>
  <c r="I14" i="6" s="1"/>
  <c r="K13" i="6"/>
  <c r="J14" i="6"/>
  <c r="O27" i="3" l="1"/>
  <c r="B28" i="4"/>
  <c r="K14" i="6"/>
  <c r="L5" i="6"/>
  <c r="L6" i="6"/>
  <c r="L7" i="6"/>
  <c r="L8" i="6"/>
  <c r="L9" i="6"/>
  <c r="L10" i="6"/>
  <c r="L11" i="6"/>
  <c r="L12" i="6"/>
  <c r="B29" i="4" l="1"/>
  <c r="B32" i="4"/>
  <c r="B30" i="4" l="1"/>
  <c r="B31" i="4"/>
  <c r="B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Guía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Catálogo de ocho conceptos. Precios mensuales de cuatro planes; instalación básica gratuita; instalaciones avanzadas por cotizar. El costo fijo interno no se vende como servicio. No contiene una segunda proyección.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Guía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Fuente: Modelo_costos_SaaS_GymHub_regional.docx. 500 CRC/USD presupuestado; 5 000 CRC/hora técnica. Starter/Pro: 4 750 CRC/mes y 40 000 CRC por instalación. Premium/Enterprise: 17 250 CRC/mes y 90 000 CRC por instalación de referencia. Fijos: 61 125 CRC/mes por toda la plataforma. Enterprise requiere validar horas adicionales.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Guía</author>
    <author>Pulso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Seis conceptos comerciales y dos internos. Suscripciones: gimnasios activos cada mes. Instalaciones: altas, una vez por gimnasio. Básica sin cobro; Premium y Enterprise se cobran por personalización. Cero con etiqueta Por cotizar es un precio pendiente, no gratuito. Fijos: una plataforma por mes. Escenario hipotético, no ventas confirmadas.</t>
        </r>
      </text>
    </comment>
    <comment ref="B12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Ingresar el precio de venta cotizado. El costo interno es 90 000 CRC de referencia, no un precio aprobado. La validación impide concluir rentabilidad si existen altas sin precio.</t>
        </r>
      </text>
    </comment>
    <comment ref="B14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Ingresar el precio de venta cotizado. El costo interno es 90 000 CRC de referencia, no un precio aprobado. La validación impide concluir rentabilidad si existen altas sin precio.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Guía</author>
    <author>Pulso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Guía de hojas, margen por plan y recuperación. El promedio básico solo incluye instalaciones gratuitas de Starter/Pro. La recuperación neta descuenta costos fijos y reconoce cobros de instalación avanzada. Se calcula para cartera constante e incorporaciones al inicio. No se interpreta el equilibrio operativo como recuperación total.</t>
        </r>
      </text>
    </comment>
    <comment ref="B12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160 000 CRC / 4 altas = 40 000 CRC por alta básica. Excluye altas avanzadas cobradas.</t>
        </r>
      </text>
    </comment>
    <comment ref="B13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9 875 CRC / 4 gimnasios = 2 468,75 CRC disponibles por gimnasio/mes después de fijos.</t>
        </r>
      </text>
    </comment>
    <comment ref="B14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160 000 / 9 875 = 16,20 meses; 17 mensualidades completas. Antes de impuestos.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Lectura y auditoría</author>
    <author>Pulso</author>
    <author>Pulso | Revisión de costos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Ingresar solo precios comparables con fuente, fecha, moneda, alcance e impuestos documentados. Una celda sin precio no significa cero: la variación queda vacía. No hay evidencia cargada que permita concluir ventaja de precio.</t>
        </r>
      </text>
    </comment>
    <comment ref="C4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Fuente oficial: https://gymdesk.com/pricing . USD mensuales: Small 100 para 51–100 miembros; Medium 150 para 101–200. Más de 400 requiere cotización. Conversión al tipo presupuestado de 500 CRC/USD, no cotización bancaria vigente. Consulta 11/09/2026.</t>
        </r>
      </text>
    </comment>
    <comment ref="E4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Fuente oficial: https://www.gymmaster.com/gymmaster-pricing-page/ . Solo software: Foundation USD89 hasta100, Advanced USD129 hasta400, Professional USD209 hasta1300. Enterprise cotizado. Importes por sede/mes sin impuestos. Consulta 11/09/2026.</t>
        </r>
      </text>
    </comment>
    <comment ref="A5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80 miembros; Small Gym hasta 100 / Foundation hasta 100. Referencia por capacidad, no equivalencia funcional. GymMaster solo software y sin impuestos; extras de proveedores no incluidos.</t>
        </r>
      </text>
    </comment>
    <comment ref="C5" authorId="2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E5" authorId="2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A6" authorId="1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200 miembros; Medium Gym hasta 200 / Advanced hasta 400. Referencia por capacidad, no equivalencia funcional. GymMaster solo software y sin impuestos; extras de proveedores no incluidos.</t>
        </r>
      </text>
    </comment>
    <comment ref="C6" authorId="2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E6" authorId="2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A7" authorId="1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500 miembros; Gymdesk cotiza sobre 400 / Professional hasta 1300. La base dedicada no está incluida en esta comparación. Referencia por capacidad, no equivalencia funcional. GymMaster solo software y sin impuestos; extras de proveedores no incluidos.</t>
        </r>
      </text>
    </comment>
    <comment ref="C7" authorId="2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E7" authorId="2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A8" authorId="1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Cadena o alcance especial: solicitar cotización a ambos proveedores. Referencia por capacidad, no equivalencia funcional. GymMaster solo software y sin impuestos; extras de proveedores no incluidos.</t>
        </r>
      </text>
    </comment>
    <comment ref="C8" authorId="2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  <comment ref="E8" authorId="2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Precio competidor pendiente de evidencia comparable. No se introduce cero como precio real. La variación original de la celda siguiente no es válida sin este dato.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 | Guía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Resultado anual antes de impuestos y gastos adicionales sin cotizar. Suma únicamente el presupuesto de servicios; no duplica el catálogo. Los costos internos de horas se consideran gasto presupuestado, no acreditan desembolsos reales. Resultado base: pérdida 41 500 CRC; recuperación al mes17 si cartera y costos permanecen.</t>
        </r>
      </text>
    </comment>
  </commentList>
</comments>
</file>

<file path=xl/sharedStrings.xml><?xml version="1.0" encoding="utf-8"?>
<sst xmlns="http://schemas.openxmlformats.org/spreadsheetml/2006/main" count="285" uniqueCount="162">
  <si>
    <t>ANALISIS DE RENTABILIDAD</t>
  </si>
  <si>
    <t>Lee la guía, los planes y el resumen. Equilibrio mensual no es recuperación inicial.</t>
  </si>
  <si>
    <t>GUÍA DE LECTURA Y COSTO PROMEDIO</t>
  </si>
  <si>
    <t>PPTO Vtas Productos</t>
  </si>
  <si>
    <t>Catálogo y precios</t>
  </si>
  <si>
    <t>Precio instalación Premium</t>
  </si>
  <si>
    <t>Costeo</t>
  </si>
  <si>
    <t>Componentes y horas</t>
  </si>
  <si>
    <t>Precio instalación Enterprise</t>
  </si>
  <si>
    <t>PPTO Vtas Servicios</t>
  </si>
  <si>
    <t>Proyección mensual</t>
  </si>
  <si>
    <t>Costo avanzado de referencia</t>
  </si>
  <si>
    <t>Estructura de Precios</t>
  </si>
  <si>
    <t>Márgenes y recuperación</t>
  </si>
  <si>
    <t>Análisis de Competencia</t>
  </si>
  <si>
    <t>Tarifas y fuentes</t>
  </si>
  <si>
    <t>Rentabilidad</t>
  </si>
  <si>
    <t>Resultado anual</t>
  </si>
  <si>
    <t>Altas básicas del escenario</t>
  </si>
  <si>
    <t>Costo básico promedio</t>
  </si>
  <si>
    <t>Resultado mensual por gimnasio</t>
  </si>
  <si>
    <t>Recuperación total (meses)</t>
  </si>
  <si>
    <t>Plan</t>
  </si>
  <si>
    <t>Costo directo CRC</t>
  </si>
  <si>
    <t>Precio mensual CRC</t>
  </si>
  <si>
    <t>Aporte antes de fijos</t>
  </si>
  <si>
    <t>Margen sobre precio</t>
  </si>
  <si>
    <t>Fijos plataforma/mes</t>
  </si>
  <si>
    <t>Gimnasios para equilibrio</t>
  </si>
  <si>
    <t>Costo interno instalación</t>
  </si>
  <si>
    <t>Meses sin fijos (referencia)</t>
  </si>
  <si>
    <t>Gimnasios del escenario</t>
  </si>
  <si>
    <t>Aporte mensual escenario</t>
  </si>
  <si>
    <t>Instalación básica absorbida</t>
  </si>
  <si>
    <t>Participación en gimnasios</t>
  </si>
  <si>
    <t>Gimnasios al inicio</t>
  </si>
  <si>
    <t>Ingresos mensuales</t>
  </si>
  <si>
    <t>Costos variables mensuales</t>
  </si>
  <si>
    <t>Aporte mensual antes de fijos</t>
  </si>
  <si>
    <t>Fijos mensuales</t>
  </si>
  <si>
    <t>Resultado mensual recurrente</t>
  </si>
  <si>
    <t>Instalaciones absorbidas</t>
  </si>
  <si>
    <t>Resultado primer mes</t>
  </si>
  <si>
    <t>Resultado año 1</t>
  </si>
  <si>
    <t>Recuperación neta (meses)</t>
  </si>
  <si>
    <t>Acumulado antes de recuperación</t>
  </si>
  <si>
    <t>Acumulado al recuperar</t>
  </si>
  <si>
    <t>Saldo acumulado mes 12</t>
  </si>
  <si>
    <t>Pérdida inicial por financiar</t>
  </si>
  <si>
    <t>ESCENARIO HIPOTÉTICO, NO VENTAS CONFIRMADAS</t>
  </si>
  <si>
    <t>CATÁLOGO PULSO</t>
  </si>
  <si>
    <t>PULSO</t>
  </si>
  <si>
    <t>CRC · precios mensuales o únicos</t>
  </si>
  <si>
    <t>Concepto</t>
  </si>
  <si>
    <t>Precio de venta CRC</t>
  </si>
  <si>
    <t>Starter mensual</t>
  </si>
  <si>
    <t>Pro Gym mensual</t>
  </si>
  <si>
    <t>Premium mensual dedicado</t>
  </si>
  <si>
    <t>Enterprise mensual desde</t>
  </si>
  <si>
    <t>Instalación básica</t>
  </si>
  <si>
    <t>Instalación premium</t>
  </si>
  <si>
    <t>Operación fija plataforma</t>
  </si>
  <si>
    <t>Instalación Enterprise</t>
  </si>
  <si>
    <t>COSTEO DE SUSCRIPCIÓN E INSTALACIÓN</t>
  </si>
  <si>
    <t>Guía: nota de A1</t>
  </si>
  <si>
    <t>COSTOS DIRECTOS DEL SERVICIO</t>
  </si>
  <si>
    <t>Componente</t>
  </si>
  <si>
    <t>Costo base CRC</t>
  </si>
  <si>
    <t>Unidades base</t>
  </si>
  <si>
    <t>Unidades utilizadas</t>
  </si>
  <si>
    <t>Reserva consumo nube</t>
  </si>
  <si>
    <t>Reserva mensajería</t>
  </si>
  <si>
    <t>Reserva comisiones</t>
  </si>
  <si>
    <t>TOTAL COMPONENTES DIRECTOS</t>
  </si>
  <si>
    <t>TRABAJO TÉCNICO DIRECTO</t>
  </si>
  <si>
    <t>Actividad técnica</t>
  </si>
  <si>
    <t>Costo bloque horas CRC</t>
  </si>
  <si>
    <t>Horas del bloque</t>
  </si>
  <si>
    <t>Horas del servicio</t>
  </si>
  <si>
    <t>Costo técnico CRC</t>
  </si>
  <si>
    <t>Soporte mensual por gimnasio</t>
  </si>
  <si>
    <t>Costo del trabajo técnico</t>
  </si>
  <si>
    <t>COSTO DIRECTO POR SERVICIO</t>
  </si>
  <si>
    <t>PRECIO MENSUAL</t>
  </si>
  <si>
    <t>CONTRIBUCIÓN ANTES DE FIJOS</t>
  </si>
  <si>
    <t>RECARGO SOBRE COSTO DIRECTO</t>
  </si>
  <si>
    <t>Base dedicada Supabase</t>
  </si>
  <si>
    <t>Dominio API adicional</t>
  </si>
  <si>
    <t>Instalación inicial</t>
  </si>
  <si>
    <t>Usuarios, roles y permisos</t>
  </si>
  <si>
    <t>Identidad visual básica</t>
  </si>
  <si>
    <t>Subdominio Vercel</t>
  </si>
  <si>
    <t>Capacitación inicial</t>
  </si>
  <si>
    <t>COBRO INICIAL</t>
  </si>
  <si>
    <t>COSTO ABSORBIDO POR PULSO</t>
  </si>
  <si>
    <t>Paquete instalación básica</t>
  </si>
  <si>
    <t>Creación base dedicada</t>
  </si>
  <si>
    <t>Migraciones, pruebas y respaldo</t>
  </si>
  <si>
    <t>Dominio API y DNS</t>
  </si>
  <si>
    <t>Pruebas finales y entrega</t>
  </si>
  <si>
    <t>APORTE INSTALACIÓN COBRADA</t>
  </si>
  <si>
    <t>Vercel Pro</t>
  </si>
  <si>
    <t>Supabase Pro base</t>
  </si>
  <si>
    <t>Dominio API Supabase</t>
  </si>
  <si>
    <t>Dominio principal mensualizado</t>
  </si>
  <si>
    <t>SSL incluido</t>
  </si>
  <si>
    <t>Correo profesional</t>
  </si>
  <si>
    <t>Herramientas de diseño</t>
  </si>
  <si>
    <t>Mantenimiento técnico base</t>
  </si>
  <si>
    <t>Publicidad digital</t>
  </si>
  <si>
    <t>Transporte y viáticos</t>
  </si>
  <si>
    <t>COSTO FIJO MENSUAL TOTAL</t>
  </si>
  <si>
    <t>PRESUPUESTO DE VENTAS SERVICIOS</t>
  </si>
  <si>
    <t>Escenario: 1 Starter + 3 Pro Gym; altas al mes 1; instalación básica incluida.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</si>
  <si>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</si>
  <si>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</si>
  <si>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</si>
  <si>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</si>
  <si>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</si>
  <si>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</si>
  <si>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</si>
  <si>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</si>
  <si>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</si>
  <si>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</si>
  <si>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</si>
  <si>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</si>
  <si>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</t>
  </si>
  <si>
    <t>Precio mensual o único</t>
  </si>
  <si>
    <t>CANTIDADES MENSUALES POR CONCEPTO</t>
  </si>
  <si>
    <t>Instalación Premium cotizada</t>
  </si>
  <si>
    <t>Instalación Enterprise cotizada</t>
  </si>
  <si>
    <t>INGRESOS POR CONCEPTO</t>
  </si>
  <si>
    <t>Precio Und</t>
  </si>
  <si>
    <t>TOTAL INGRESOS VENTAS</t>
  </si>
  <si>
    <t>COSTOS VARIABLES, INSTALACIÓN Y FIJOS</t>
  </si>
  <si>
    <t>RESULTADO ANTES DE IMPUESTOS</t>
  </si>
  <si>
    <t>RESULTADO / INGRESOS</t>
  </si>
  <si>
    <t>COSTOS POR CONCEPTO</t>
  </si>
  <si>
    <t>Costos / Und</t>
  </si>
  <si>
    <t>TOTAL COSTOS PRESUPUESTADOS</t>
  </si>
  <si>
    <t>COMPARACIÓN DE TARIFAS PUBLICADAS</t>
  </si>
  <si>
    <t>Consulta 11/09/2026 · CRC/USD 500 presupuestado · Aforo comparable; funciones distintas.</t>
  </si>
  <si>
    <t>Plan Pulso</t>
  </si>
  <si>
    <t>Pulso CRC/mes</t>
  </si>
  <si>
    <t>Gymdesk CRC/mes</t>
  </si>
  <si>
    <t>Diferencia / Pulso</t>
  </si>
  <si>
    <t>GymMaster CRC/mes</t>
  </si>
  <si>
    <t>Por cotizar</t>
  </si>
  <si>
    <t>Año 1: ingresos menos variables, instalaciones y fijos. Antes de impuestos.</t>
  </si>
  <si>
    <t>Cantidad anual por concepto</t>
  </si>
  <si>
    <t>Precio Venta</t>
  </si>
  <si>
    <t>Costo Venta</t>
  </si>
  <si>
    <t>Aporte/costo unitario</t>
  </si>
  <si>
    <t>Monto Total Venta</t>
  </si>
  <si>
    <t>Mezcla Ventas</t>
  </si>
  <si>
    <t>Monto Total Costo</t>
  </si>
  <si>
    <t>Mezcla Costos</t>
  </si>
  <si>
    <t>Resultado anual CRC</t>
  </si>
  <si>
    <t>Resultado / ingresos</t>
  </si>
  <si>
    <t>Aporte al resultado positivo</t>
  </si>
  <si>
    <t>TOTAL ESCENARIO AÑO 1</t>
  </si>
  <si>
    <t>RESULTADO ANUAL ANTES DE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</si>
</sst>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&quot;₡&quot;#,##0"/>
    <numFmt numFmtId="165" formatCode="&quot;₡&quot;\ #,##0;\(&quot;₡&quot;\ #,##0\);&quot;Por cotizar&quot;"/>
    <numFmt numFmtId="166" formatCode="_-[$₡-140A]* #,##0.00_-;\-[$₡-140A]* #,##0.00_-;_-[$₡-140A]* &quot;-&quot;??_-;_-@_-"/>
    <numFmt numFmtId="167" formatCode="_(* #,##0_);_(* \(#,##0\);_(* &quot;-&quot;??_);_(@_)"/>
    <numFmt numFmtId="168" formatCode="&quot;₡&quot;\ #,##0;\(&quot;₡&quot;\ #,##0\);&quot;₡&quot;\ 0"/>
    <numFmt numFmtId="169" formatCode="&quot;₡&quot;\ #,##0;\(&quot;₡&quot;\ #,##0\)"/>
    <numFmt numFmtId="170" formatCode="0.0%"/>
    <numFmt numFmtId="171" formatCode="&quot;₡&quot;\ #,##0.00;\(&quot;₡&quot;\ 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1" fontId="1" fillId="0" borderId="0" xfId="0" applyNumberFormat="1" applyFont="1" applyAlignment="1" applyProtection="1">
      <alignment vertical="center" wrapText="1"/>
      <protection locked="0"/>
    </xf>
    <xf numFmtId="41" fontId="1" fillId="0" borderId="0" xfId="0" applyNumberFormat="1" applyFont="1" applyProtection="1">
      <protection locked="0"/>
    </xf>
    <xf numFmtId="41" fontId="1" fillId="2" borderId="0" xfId="0" applyNumberFormat="1" applyFont="1" applyFill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41" fontId="1" fillId="3" borderId="1" xfId="0" applyNumberFormat="1" applyFont="1" applyFill="1" applyBorder="1" applyAlignment="1" applyProtection="1">
      <alignment vertical="center" wrapText="1"/>
      <protection locked="0"/>
    </xf>
    <xf numFmtId="41" fontId="0" fillId="2" borderId="1" xfId="0" applyNumberFormat="1" applyFill="1" applyBorder="1" applyAlignment="1" applyProtection="1">
      <alignment vertical="center" wrapText="1"/>
      <protection locked="0"/>
    </xf>
    <xf numFmtId="164" fontId="0" fillId="2" borderId="1" xfId="0" applyNumberFormat="1" applyFill="1" applyBorder="1" applyAlignment="1" applyProtection="1">
      <alignment vertical="center" wrapText="1"/>
      <protection locked="0"/>
    </xf>
    <xf numFmtId="165" fontId="0" fillId="2" borderId="1" xfId="0" applyNumberFormat="1" applyFill="1" applyBorder="1" applyAlignment="1" applyProtection="1">
      <alignment vertical="center" wrapText="1"/>
      <protection locked="0"/>
    </xf>
    <xf numFmtId="43" fontId="2" fillId="0" borderId="0" xfId="0" applyNumberFormat="1" applyFont="1" applyAlignment="1" applyProtection="1">
      <alignment vertical="center" wrapText="1"/>
      <protection locked="0"/>
    </xf>
    <xf numFmtId="43" fontId="2" fillId="4" borderId="1" xfId="0" applyNumberFormat="1" applyFont="1" applyFill="1" applyBorder="1" applyAlignment="1" applyProtection="1">
      <alignment vertical="center" wrapText="1"/>
      <protection locked="0"/>
    </xf>
    <xf numFmtId="43" fontId="1" fillId="5" borderId="2" xfId="0" applyNumberFormat="1" applyFont="1" applyFill="1" applyBorder="1" applyAlignment="1" applyProtection="1">
      <alignment vertical="center" wrapText="1"/>
      <protection locked="0"/>
    </xf>
    <xf numFmtId="43" fontId="1" fillId="5" borderId="3" xfId="0" applyNumberFormat="1" applyFont="1" applyFill="1" applyBorder="1" applyProtection="1">
      <protection locked="0"/>
    </xf>
    <xf numFmtId="43" fontId="1" fillId="5" borderId="4" xfId="0" applyNumberFormat="1" applyFont="1" applyFill="1" applyBorder="1" applyProtection="1">
      <protection locked="0"/>
    </xf>
    <xf numFmtId="43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43" fontId="0" fillId="2" borderId="1" xfId="0" applyNumberFormat="1" applyFill="1" applyBorder="1" applyAlignment="1" applyProtection="1">
      <alignment vertical="center" wrapText="1"/>
      <protection locked="0"/>
    </xf>
    <xf numFmtId="44" fontId="0" fillId="0" borderId="1" xfId="0" applyNumberFormat="1" applyBorder="1" applyAlignment="1" applyProtection="1">
      <alignment vertical="center" wrapText="1"/>
      <protection locked="0"/>
    </xf>
    <xf numFmtId="43" fontId="1" fillId="7" borderId="2" xfId="0" applyNumberFormat="1" applyFont="1" applyFill="1" applyBorder="1" applyAlignment="1" applyProtection="1">
      <alignment vertical="center" wrapText="1"/>
      <protection locked="0"/>
    </xf>
    <xf numFmtId="43" fontId="1" fillId="7" borderId="3" xfId="0" applyNumberFormat="1" applyFont="1" applyFill="1" applyBorder="1" applyProtection="1">
      <protection locked="0"/>
    </xf>
    <xf numFmtId="44" fontId="1" fillId="7" borderId="4" xfId="0" applyNumberFormat="1" applyFont="1" applyFill="1" applyBorder="1" applyAlignment="1" applyProtection="1">
      <alignment vertical="center" wrapText="1"/>
      <protection locked="0"/>
    </xf>
    <xf numFmtId="43" fontId="0" fillId="5" borderId="2" xfId="0" applyNumberFormat="1" applyFill="1" applyBorder="1" applyAlignment="1" applyProtection="1">
      <alignment vertical="center" wrapText="1"/>
      <protection locked="0"/>
    </xf>
    <xf numFmtId="43" fontId="0" fillId="5" borderId="3" xfId="0" applyNumberFormat="1" applyFill="1" applyBorder="1" applyProtection="1">
      <protection locked="0"/>
    </xf>
    <xf numFmtId="43" fontId="0" fillId="5" borderId="4" xfId="0" applyNumberFormat="1" applyFill="1" applyBorder="1" applyProtection="1">
      <protection locked="0"/>
    </xf>
    <xf numFmtId="43" fontId="1" fillId="8" borderId="1" xfId="0" applyNumberFormat="1" applyFont="1" applyFill="1" applyBorder="1" applyAlignment="1" applyProtection="1">
      <alignment horizontal="center" vertical="center" wrapText="1"/>
      <protection locked="0"/>
    </xf>
    <xf numFmtId="43" fontId="0" fillId="7" borderId="3" xfId="0" applyNumberFormat="1" applyFill="1" applyBorder="1" applyProtection="1">
      <protection locked="0"/>
    </xf>
    <xf numFmtId="43" fontId="1" fillId="8" borderId="2" xfId="0" applyNumberFormat="1" applyFont="1" applyFill="1" applyBorder="1" applyAlignment="1" applyProtection="1">
      <alignment vertical="center" wrapText="1"/>
      <protection locked="0"/>
    </xf>
    <xf numFmtId="43" fontId="1" fillId="8" borderId="3" xfId="0" applyNumberFormat="1" applyFont="1" applyFill="1" applyBorder="1" applyProtection="1">
      <protection locked="0"/>
    </xf>
    <xf numFmtId="166" fontId="1" fillId="8" borderId="4" xfId="0" applyNumberFormat="1" applyFont="1" applyFill="1" applyBorder="1" applyAlignment="1" applyProtection="1">
      <alignment vertical="center" wrapText="1"/>
      <protection locked="0"/>
    </xf>
    <xf numFmtId="166" fontId="1" fillId="7" borderId="4" xfId="0" applyNumberFormat="1" applyFont="1" applyFill="1" applyBorder="1" applyAlignment="1" applyProtection="1">
      <alignment vertical="center" wrapText="1"/>
      <protection locked="0"/>
    </xf>
    <xf numFmtId="10" fontId="1" fillId="8" borderId="4" xfId="0" applyNumberFormat="1" applyFont="1" applyFill="1" applyBorder="1" applyAlignment="1" applyProtection="1">
      <alignment vertical="center" wrapText="1"/>
      <protection locked="0"/>
    </xf>
    <xf numFmtId="165" fontId="1" fillId="7" borderId="4" xfId="0" applyNumberFormat="1" applyFont="1" applyFill="1" applyBorder="1" applyAlignment="1" applyProtection="1">
      <alignment vertical="center" wrapText="1"/>
      <protection locked="0"/>
    </xf>
    <xf numFmtId="17" fontId="1" fillId="4" borderId="1" xfId="0" applyNumberFormat="1" applyFont="1" applyFill="1" applyBorder="1" applyAlignment="1" applyProtection="1">
      <alignment vertical="center" wrapText="1"/>
      <protection locked="0"/>
    </xf>
    <xf numFmtId="41" fontId="1" fillId="4" borderId="1" xfId="0" applyNumberFormat="1" applyFont="1" applyFill="1" applyBorder="1" applyAlignment="1" applyProtection="1">
      <alignment vertical="center" wrapText="1"/>
      <protection locked="0"/>
    </xf>
    <xf numFmtId="41" fontId="0" fillId="0" borderId="1" xfId="0" applyNumberFormat="1" applyBorder="1" applyProtection="1">
      <protection locked="0"/>
    </xf>
    <xf numFmtId="17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41" fontId="1" fillId="3" borderId="1" xfId="0" applyNumberFormat="1" applyFont="1" applyFill="1" applyBorder="1" applyProtection="1">
      <protection locked="0"/>
    </xf>
    <xf numFmtId="41" fontId="0" fillId="3" borderId="1" xfId="0" applyNumberFormat="1" applyFill="1" applyBorder="1" applyProtection="1">
      <protection locked="0"/>
    </xf>
    <xf numFmtId="41" fontId="1" fillId="2" borderId="1" xfId="0" applyNumberFormat="1" applyFont="1" applyFill="1" applyBorder="1" applyAlignment="1" applyProtection="1">
      <alignment vertical="center" wrapText="1"/>
      <protection locked="0"/>
    </xf>
    <xf numFmtId="41" fontId="0" fillId="0" borderId="1" xfId="0" applyNumberFormat="1" applyBorder="1" applyAlignment="1" applyProtection="1">
      <alignment vertical="center" wrapText="1"/>
      <protection locked="0"/>
    </xf>
    <xf numFmtId="165" fontId="1" fillId="2" borderId="1" xfId="0" applyNumberFormat="1" applyFont="1" applyFill="1" applyBorder="1" applyAlignment="1" applyProtection="1">
      <alignment vertical="center" wrapText="1"/>
      <protection locked="0"/>
    </xf>
    <xf numFmtId="17" fontId="1" fillId="3" borderId="1" xfId="0" applyNumberFormat="1" applyFont="1" applyFill="1" applyBorder="1" applyAlignment="1" applyProtection="1">
      <alignment vertical="center" wrapText="1"/>
      <protection locked="0"/>
    </xf>
    <xf numFmtId="41" fontId="1" fillId="0" borderId="1" xfId="0" applyNumberFormat="1" applyFont="1" applyBorder="1" applyAlignment="1" applyProtection="1">
      <alignment vertical="center" wrapText="1"/>
      <protection locked="0"/>
    </xf>
    <xf numFmtId="41" fontId="1" fillId="7" borderId="1" xfId="0" applyNumberFormat="1" applyFont="1" applyFill="1" applyBorder="1" applyAlignment="1" applyProtection="1">
      <alignment vertical="center" wrapText="1"/>
      <protection locked="0"/>
    </xf>
    <xf numFmtId="41" fontId="1" fillId="8" borderId="1" xfId="0" applyNumberFormat="1" applyFont="1" applyFill="1" applyBorder="1" applyAlignment="1" applyProtection="1">
      <alignment vertical="center" wrapText="1"/>
      <protection locked="0"/>
    </xf>
    <xf numFmtId="41" fontId="1" fillId="8" borderId="1" xfId="0" applyNumberFormat="1" applyFont="1" applyFill="1" applyBorder="1" applyProtection="1">
      <protection locked="0"/>
    </xf>
    <xf numFmtId="41" fontId="0" fillId="8" borderId="1" xfId="0" applyNumberFormat="1" applyFill="1" applyBorder="1" applyProtection="1">
      <protection locked="0"/>
    </xf>
    <xf numFmtId="167" fontId="1" fillId="8" borderId="1" xfId="0" applyNumberFormat="1" applyFont="1" applyFill="1" applyBorder="1" applyAlignment="1" applyProtection="1">
      <alignment vertical="center" wrapText="1"/>
      <protection locked="0"/>
    </xf>
    <xf numFmtId="41" fontId="1" fillId="3" borderId="5" xfId="0" applyNumberFormat="1" applyFont="1" applyFill="1" applyBorder="1" applyAlignment="1" applyProtection="1">
      <alignment vertical="center" wrapText="1"/>
      <protection locked="0"/>
    </xf>
    <xf numFmtId="41" fontId="1" fillId="3" borderId="5" xfId="0" applyNumberFormat="1" applyFont="1" applyFill="1" applyBorder="1" applyProtection="1">
      <protection locked="0"/>
    </xf>
    <xf numFmtId="9" fontId="1" fillId="3" borderId="5" xfId="0" applyNumberFormat="1" applyFont="1" applyFill="1" applyBorder="1" applyAlignment="1" applyProtection="1">
      <alignment vertical="center" wrapText="1"/>
      <protection locked="0"/>
    </xf>
    <xf numFmtId="41" fontId="1" fillId="3" borderId="6" xfId="0" applyNumberFormat="1" applyFont="1" applyFill="1" applyBorder="1" applyAlignment="1" applyProtection="1">
      <alignment vertical="center" wrapText="1"/>
      <protection locked="0"/>
    </xf>
    <xf numFmtId="17" fontId="1" fillId="3" borderId="6" xfId="0" applyNumberFormat="1" applyFont="1" applyFill="1" applyBorder="1" applyAlignment="1" applyProtection="1">
      <alignment vertical="center" wrapText="1"/>
      <protection locked="0"/>
    </xf>
    <xf numFmtId="41" fontId="0" fillId="9" borderId="1" xfId="0" applyNumberForma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10" borderId="1" xfId="0" applyFont="1" applyFill="1" applyBorder="1" applyAlignment="1" applyProtection="1">
      <alignment vertical="center" wrapText="1"/>
      <protection locked="0"/>
    </xf>
    <xf numFmtId="43" fontId="0" fillId="10" borderId="1" xfId="0" applyNumberFormat="1" applyFill="1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168" fontId="0" fillId="0" borderId="1" xfId="0" applyNumberFormat="1" applyBorder="1" applyProtection="1">
      <protection locked="0"/>
    </xf>
    <xf numFmtId="168" fontId="0" fillId="0" borderId="1" xfId="0" applyNumberFormat="1" applyBorder="1" applyAlignment="1" applyProtection="1">
      <alignment vertical="center" wrapText="1"/>
      <protection locked="0"/>
    </xf>
    <xf numFmtId="169" fontId="0" fillId="0" borderId="1" xfId="0" applyNumberFormat="1" applyBorder="1" applyAlignment="1" applyProtection="1">
      <alignment vertical="center" wrapText="1"/>
      <protection locked="0"/>
    </xf>
    <xf numFmtId="168" fontId="1" fillId="2" borderId="1" xfId="0" applyNumberFormat="1" applyFont="1" applyFill="1" applyBorder="1" applyProtection="1">
      <protection locked="0"/>
    </xf>
    <xf numFmtId="1" fontId="0" fillId="0" borderId="1" xfId="0" applyNumberFormat="1" applyBorder="1" applyProtection="1">
      <protection locked="0"/>
    </xf>
    <xf numFmtId="1" fontId="1" fillId="2" borderId="1" xfId="0" applyNumberFormat="1" applyFont="1" applyFill="1" applyBorder="1" applyProtection="1">
      <protection locked="0"/>
    </xf>
    <xf numFmtId="170" fontId="0" fillId="0" borderId="1" xfId="0" applyNumberFormat="1" applyBorder="1" applyProtection="1">
      <protection locked="0"/>
    </xf>
    <xf numFmtId="170" fontId="0" fillId="0" borderId="1" xfId="0" applyNumberFormat="1" applyBorder="1" applyAlignment="1" applyProtection="1">
      <alignment vertical="center" wrapText="1"/>
      <protection locked="0"/>
    </xf>
    <xf numFmtId="1" fontId="0" fillId="0" borderId="1" xfId="0" applyNumberFormat="1" applyBorder="1" applyAlignment="1" applyProtection="1">
      <alignment vertical="center" wrapText="1"/>
      <protection locked="0"/>
    </xf>
    <xf numFmtId="171" fontId="0" fillId="0" borderId="1" xfId="0" applyNumberFormat="1" applyBorder="1" applyAlignment="1" applyProtection="1">
      <alignment vertical="center" wrapText="1"/>
      <protection locked="0"/>
    </xf>
    <xf numFmtId="43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68" fontId="1" fillId="2" borderId="1" xfId="0" applyNumberFormat="1" applyFont="1" applyFill="1" applyBorder="1" applyAlignment="1" applyProtection="1">
      <alignment vertical="center" wrapText="1"/>
      <protection locked="0"/>
    </xf>
    <xf numFmtId="1" fontId="1" fillId="2" borderId="1" xfId="0" applyNumberFormat="1" applyFont="1" applyFill="1" applyBorder="1" applyAlignment="1" applyProtection="1">
      <alignment vertical="center" wrapText="1"/>
      <protection locked="0"/>
    </xf>
    <xf numFmtId="167" fontId="0" fillId="0" borderId="1" xfId="0" applyNumberFormat="1" applyBorder="1" applyAlignment="1" applyProtection="1">
      <alignment vertical="center" wrapText="1"/>
      <protection locked="0"/>
    </xf>
    <xf numFmtId="10" fontId="0" fillId="0" borderId="1" xfId="0" applyNumberFormat="1" applyBorder="1" applyAlignment="1" applyProtection="1">
      <alignment vertical="center" wrapText="1"/>
      <protection locked="0"/>
    </xf>
    <xf numFmtId="10" fontId="1" fillId="2" borderId="1" xfId="0" applyNumberFormat="1" applyFont="1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10" fontId="0" fillId="0" borderId="1" xfId="0" applyNumberFormat="1" applyBorder="1" applyProtection="1">
      <protection locked="0"/>
    </xf>
    <xf numFmtId="167" fontId="0" fillId="0" borderId="1" xfId="0" applyNumberFormat="1" applyBorder="1" applyProtection="1">
      <protection locked="0"/>
    </xf>
    <xf numFmtId="0" fontId="0" fillId="4" borderId="1" xfId="0" applyFill="1" applyBorder="1" applyAlignment="1" applyProtection="1">
      <alignment vertical="center" wrapText="1"/>
      <protection locked="0"/>
    </xf>
    <xf numFmtId="168" fontId="0" fillId="9" borderId="1" xfId="0" applyNumberFormat="1" applyFill="1" applyBorder="1" applyAlignment="1" applyProtection="1">
      <alignment vertical="center" wrapText="1"/>
      <protection locked="0"/>
    </xf>
    <xf numFmtId="0" fontId="0" fillId="4" borderId="1" xfId="0" applyFill="1" applyBorder="1" applyProtection="1">
      <protection locked="0"/>
    </xf>
    <xf numFmtId="165" fontId="0" fillId="0" borderId="1" xfId="0" applyNumberFormat="1" applyBorder="1" applyAlignment="1" applyProtection="1">
      <alignment vertical="center" wrapText="1"/>
      <protection locked="0"/>
    </xf>
    <xf numFmtId="43" fontId="0" fillId="0" borderId="1" xfId="0" applyNumberFormat="1" applyBorder="1" applyProtection="1">
      <protection locked="0"/>
    </xf>
    <xf numFmtId="0" fontId="1" fillId="4" borderId="1" xfId="0" applyFont="1" applyFill="1" applyBorder="1" applyAlignment="1" applyProtection="1">
      <alignment vertical="center" wrapText="1"/>
      <protection locked="0"/>
    </xf>
    <xf numFmtId="43" fontId="0" fillId="4" borderId="1" xfId="0" applyNumberFormat="1" applyFill="1" applyBorder="1" applyProtection="1">
      <protection locked="0"/>
    </xf>
    <xf numFmtId="167" fontId="0" fillId="4" borderId="1" xfId="0" applyNumberFormat="1" applyFill="1" applyBorder="1" applyAlignment="1" applyProtection="1">
      <alignment vertical="center" wrapText="1"/>
      <protection locked="0"/>
    </xf>
    <xf numFmtId="10" fontId="0" fillId="4" borderId="1" xfId="0" applyNumberForma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CB98A64-BE22-437C-BA42-4047796D35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www.gymmaster.com/gymmaster-pricing-page/" TargetMode="External"/><Relationship Id="rId1" Type="http://schemas.openxmlformats.org/officeDocument/2006/relationships/hyperlink" Target="https://gymdesk.com/pricing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workbookViewId="0">
      <selection activeCell="H15" sqref="H15"/>
    </sheetView>
  </sheetViews>
  <sheetFormatPr baseColWidth="10" defaultColWidth="8.88671875" defaultRowHeight="14.4" x14ac:dyDescent="0.3"/>
  <cols>
    <col min="1" max="1" width="36.109375" customWidth="1"/>
    <col min="2" max="2" width="28" customWidth="1"/>
  </cols>
  <sheetData>
    <row r="1" spans="1:2" ht="19.95" customHeight="1" x14ac:dyDescent="0.3">
      <c r="A1" s="1" t="s">
        <v>50</v>
      </c>
      <c r="B1" s="2"/>
    </row>
    <row r="2" spans="1:2" ht="19.95" customHeight="1" x14ac:dyDescent="0.3">
      <c r="A2" s="3" t="s">
        <v>51</v>
      </c>
      <c r="B2" s="2"/>
    </row>
    <row r="3" spans="1:2" ht="31.95" customHeight="1" x14ac:dyDescent="0.3">
      <c r="A3" s="4" t="s">
        <v>52</v>
      </c>
      <c r="B3" s="4"/>
    </row>
    <row r="4" spans="1:2" ht="19.95" customHeight="1" x14ac:dyDescent="0.3">
      <c r="A4" s="5" t="s">
        <v>53</v>
      </c>
      <c r="B4" s="5" t="s">
        <v>54</v>
      </c>
    </row>
    <row r="5" spans="1:2" ht="19.95" customHeight="1" x14ac:dyDescent="0.3">
      <c r="A5" s="6" t="s">
        <v>55</v>
      </c>
      <c r="B5" s="7">
        <v>15000</v>
      </c>
    </row>
    <row r="6" spans="1:2" ht="19.95" customHeight="1" x14ac:dyDescent="0.3">
      <c r="A6" s="6" t="s">
        <v>56</v>
      </c>
      <c r="B6" s="7">
        <v>25000</v>
      </c>
    </row>
    <row r="7" spans="1:2" ht="19.95" customHeight="1" x14ac:dyDescent="0.3">
      <c r="A7" s="6" t="s">
        <v>57</v>
      </c>
      <c r="B7" s="7">
        <v>45000</v>
      </c>
    </row>
    <row r="8" spans="1:2" ht="19.95" customHeight="1" x14ac:dyDescent="0.3">
      <c r="A8" s="6" t="s">
        <v>58</v>
      </c>
      <c r="B8" s="7">
        <v>70000</v>
      </c>
    </row>
    <row r="9" spans="1:2" ht="19.95" customHeight="1" x14ac:dyDescent="0.3">
      <c r="A9" s="6" t="s">
        <v>59</v>
      </c>
      <c r="B9" s="7">
        <v>0</v>
      </c>
    </row>
    <row r="10" spans="1:2" ht="19.95" customHeight="1" x14ac:dyDescent="0.3">
      <c r="A10" s="6" t="s">
        <v>60</v>
      </c>
      <c r="B10" s="8">
        <f>'PPTO Vtas Servicios'!B12</f>
        <v>0</v>
      </c>
    </row>
    <row r="11" spans="1:2" ht="19.95" customHeight="1" x14ac:dyDescent="0.3">
      <c r="A11" s="6" t="s">
        <v>61</v>
      </c>
      <c r="B11" s="7">
        <v>0</v>
      </c>
    </row>
    <row r="12" spans="1:2" ht="19.95" customHeight="1" x14ac:dyDescent="0.3">
      <c r="A12" s="6" t="s">
        <v>62</v>
      </c>
      <c r="B12" s="8">
        <f>'PPTO Vtas Servicios'!B14</f>
        <v>0</v>
      </c>
    </row>
  </sheetData>
  <pageMargins left="0.75" right="0.75" top="1" bottom="1" header="0.5" footer="0.5"/>
  <pageSetup paperSize="8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20"/>
  <sheetViews>
    <sheetView showGridLines="0" tabSelected="1" topLeftCell="A12" workbookViewId="0">
      <selection activeCell="E15" sqref="E15"/>
    </sheetView>
  </sheetViews>
  <sheetFormatPr baseColWidth="10" defaultColWidth="8.88671875" defaultRowHeight="14.4" x14ac:dyDescent="0.3"/>
  <cols>
    <col min="1" max="1" width="35.33203125" customWidth="1"/>
    <col min="2" max="2" width="18.109375" customWidth="1"/>
    <col min="3" max="5" width="13" customWidth="1"/>
  </cols>
  <sheetData>
    <row r="1" spans="1:5" ht="22.05" customHeight="1" x14ac:dyDescent="0.3">
      <c r="A1" s="9" t="s">
        <v>63</v>
      </c>
      <c r="B1" s="4"/>
      <c r="C1" s="4"/>
      <c r="D1" s="4"/>
      <c r="E1" s="4"/>
    </row>
    <row r="2" spans="1:5" ht="22.05" customHeight="1" x14ac:dyDescent="0.3">
      <c r="A2" s="9" t="str">
        <f>'PPTO Vtas Productos'!A2</f>
        <v>PULSO</v>
      </c>
      <c r="B2" s="4"/>
      <c r="C2" s="4"/>
      <c r="D2" s="4"/>
      <c r="E2" s="4"/>
    </row>
    <row r="3" spans="1:5" ht="31.95" customHeight="1" x14ac:dyDescent="0.3">
      <c r="A3" s="4" t="s">
        <v>64</v>
      </c>
      <c r="B3" s="4"/>
      <c r="C3" s="4"/>
      <c r="D3" s="4"/>
      <c r="E3" s="4"/>
    </row>
    <row r="4" spans="1:5" ht="22.95" customHeight="1" x14ac:dyDescent="0.3">
      <c r="A4" s="10" t="str">
        <f>'PPTO Vtas Productos'!A5</f>
        <v>Starter mensual</v>
      </c>
      <c r="B4" s="4"/>
      <c r="C4" s="4"/>
      <c r="D4" s="4"/>
      <c r="E4" s="4"/>
    </row>
    <row r="5" spans="1:5" ht="19.95" customHeight="1" x14ac:dyDescent="0.3">
      <c r="A5" s="11" t="s">
        <v>65</v>
      </c>
      <c r="B5" s="12"/>
      <c r="C5" s="12"/>
      <c r="D5" s="12"/>
      <c r="E5" s="13"/>
    </row>
    <row r="6" spans="1:5" ht="45" customHeight="1" x14ac:dyDescent="0.3">
      <c r="A6" s="14" t="s">
        <v>66</v>
      </c>
      <c r="B6" s="14" t="s">
        <v>67</v>
      </c>
      <c r="C6" s="14" t="s">
        <v>68</v>
      </c>
      <c r="D6" s="14" t="s">
        <v>69</v>
      </c>
      <c r="E6" s="14" t="s">
        <v>23</v>
      </c>
    </row>
    <row r="7" spans="1:5" ht="19.95" customHeight="1" x14ac:dyDescent="0.3">
      <c r="A7" s="15" t="s">
        <v>70</v>
      </c>
      <c r="B7" s="15">
        <v>750</v>
      </c>
      <c r="C7" s="15">
        <v>1</v>
      </c>
      <c r="D7" s="15">
        <v>1</v>
      </c>
      <c r="E7" s="16">
        <f>IFERROR(B7/C7*D7,0)</f>
        <v>750</v>
      </c>
    </row>
    <row r="8" spans="1:5" ht="19.95" customHeight="1" x14ac:dyDescent="0.3">
      <c r="A8" s="15" t="s">
        <v>71</v>
      </c>
      <c r="B8" s="15">
        <v>750</v>
      </c>
      <c r="C8" s="15">
        <v>1</v>
      </c>
      <c r="D8" s="15">
        <v>1</v>
      </c>
      <c r="E8" s="16">
        <f>IFERROR(B8/C8*D8,0)</f>
        <v>750</v>
      </c>
    </row>
    <row r="9" spans="1:5" ht="19.95" customHeight="1" x14ac:dyDescent="0.3">
      <c r="A9" s="15" t="s">
        <v>72</v>
      </c>
      <c r="B9" s="15">
        <v>750</v>
      </c>
      <c r="C9" s="15">
        <v>1</v>
      </c>
      <c r="D9" s="15">
        <v>1</v>
      </c>
      <c r="E9" s="16">
        <f>IFERROR(B9/C9*D9,0)</f>
        <v>750</v>
      </c>
    </row>
    <row r="10" spans="1:5" ht="19.95" customHeight="1" x14ac:dyDescent="0.3">
      <c r="A10" s="17" t="s">
        <v>73</v>
      </c>
      <c r="B10" s="18"/>
      <c r="C10" s="18"/>
      <c r="D10" s="18"/>
      <c r="E10" s="19">
        <f>SUM(E7:E9)</f>
        <v>2250</v>
      </c>
    </row>
    <row r="11" spans="1:5" ht="19.95" customHeight="1" x14ac:dyDescent="0.3">
      <c r="A11" s="20" t="s">
        <v>74</v>
      </c>
      <c r="B11" s="21"/>
      <c r="C11" s="21"/>
      <c r="D11" s="21"/>
      <c r="E11" s="22"/>
    </row>
    <row r="12" spans="1:5" ht="34.049999999999997" customHeight="1" x14ac:dyDescent="0.3">
      <c r="A12" s="23" t="s">
        <v>75</v>
      </c>
      <c r="B12" s="23" t="s">
        <v>76</v>
      </c>
      <c r="C12" s="23" t="s">
        <v>77</v>
      </c>
      <c r="D12" s="23" t="s">
        <v>78</v>
      </c>
      <c r="E12" s="23" t="s">
        <v>79</v>
      </c>
    </row>
    <row r="13" spans="1:5" ht="19.95" customHeight="1" x14ac:dyDescent="0.3">
      <c r="A13" s="15" t="s">
        <v>80</v>
      </c>
      <c r="B13" s="15">
        <v>5000</v>
      </c>
      <c r="C13" s="15">
        <v>1</v>
      </c>
      <c r="D13" s="15">
        <v>0.5</v>
      </c>
      <c r="E13" s="16">
        <f>IFERROR(B13/C13*D13,0)</f>
        <v>2500</v>
      </c>
    </row>
    <row r="14" spans="1:5" ht="19.95" customHeight="1" x14ac:dyDescent="0.3">
      <c r="A14" s="17" t="s">
        <v>81</v>
      </c>
      <c r="B14" s="24"/>
      <c r="C14" s="24"/>
      <c r="D14" s="24"/>
      <c r="E14" s="19">
        <f>SUM(E13:E13)</f>
        <v>2500</v>
      </c>
    </row>
    <row r="15" spans="1:5" ht="19.95" customHeight="1" x14ac:dyDescent="0.3">
      <c r="A15" s="25" t="s">
        <v>82</v>
      </c>
      <c r="B15" s="26"/>
      <c r="C15" s="26"/>
      <c r="D15" s="26"/>
      <c r="E15" s="27">
        <f>E10+E14</f>
        <v>4750</v>
      </c>
    </row>
    <row r="16" spans="1:5" ht="19.95" customHeight="1" x14ac:dyDescent="0.3">
      <c r="A16" s="17" t="s">
        <v>83</v>
      </c>
      <c r="B16" s="18"/>
      <c r="C16" s="18"/>
      <c r="D16" s="18"/>
      <c r="E16" s="28">
        <f>'PPTO Vtas Productos'!B5</f>
        <v>15000</v>
      </c>
    </row>
    <row r="17" spans="1:5" ht="19.95" customHeight="1" x14ac:dyDescent="0.3">
      <c r="A17" s="25" t="s">
        <v>84</v>
      </c>
      <c r="B17" s="26"/>
      <c r="C17" s="26"/>
      <c r="D17" s="26"/>
      <c r="E17" s="27">
        <f>E16-E15</f>
        <v>10250</v>
      </c>
    </row>
    <row r="18" spans="1:5" ht="19.95" customHeight="1" x14ac:dyDescent="0.3">
      <c r="A18" s="25" t="s">
        <v>85</v>
      </c>
      <c r="B18" s="26"/>
      <c r="C18" s="26"/>
      <c r="D18" s="26"/>
      <c r="E18" s="29">
        <f>IF(E16&gt;0,E17/E15,"")</f>
        <v>2.1578947368421053</v>
      </c>
    </row>
    <row r="19" spans="1:5" ht="22.95" customHeight="1" x14ac:dyDescent="0.3">
      <c r="A19" s="10" t="str">
        <f>'PPTO Vtas Productos'!A6</f>
        <v>Pro Gym mensual</v>
      </c>
      <c r="B19" s="4"/>
      <c r="C19" s="4"/>
      <c r="D19" s="4"/>
      <c r="E19" s="4"/>
    </row>
    <row r="20" spans="1:5" ht="19.95" customHeight="1" x14ac:dyDescent="0.3">
      <c r="A20" s="11" t="s">
        <v>65</v>
      </c>
      <c r="B20" s="12"/>
      <c r="C20" s="12"/>
      <c r="D20" s="12"/>
      <c r="E20" s="13"/>
    </row>
    <row r="21" spans="1:5" ht="45" customHeight="1" x14ac:dyDescent="0.3">
      <c r="A21" s="14" t="s">
        <v>66</v>
      </c>
      <c r="B21" s="14" t="s">
        <v>67</v>
      </c>
      <c r="C21" s="14" t="s">
        <v>68</v>
      </c>
      <c r="D21" s="14" t="s">
        <v>69</v>
      </c>
      <c r="E21" s="14" t="s">
        <v>23</v>
      </c>
    </row>
    <row r="22" spans="1:5" ht="19.95" customHeight="1" x14ac:dyDescent="0.3">
      <c r="A22" s="15" t="s">
        <v>70</v>
      </c>
      <c r="B22" s="15">
        <v>750</v>
      </c>
      <c r="C22" s="15">
        <v>1</v>
      </c>
      <c r="D22" s="15">
        <v>1</v>
      </c>
      <c r="E22" s="16">
        <f>IFERROR(B22/C22*D22,0)</f>
        <v>750</v>
      </c>
    </row>
    <row r="23" spans="1:5" ht="19.95" customHeight="1" x14ac:dyDescent="0.3">
      <c r="A23" s="15" t="s">
        <v>71</v>
      </c>
      <c r="B23" s="15">
        <v>750</v>
      </c>
      <c r="C23" s="15">
        <v>1</v>
      </c>
      <c r="D23" s="15">
        <v>1</v>
      </c>
      <c r="E23" s="16">
        <f>IFERROR(B23/C23*D23,0)</f>
        <v>750</v>
      </c>
    </row>
    <row r="24" spans="1:5" ht="19.95" customHeight="1" x14ac:dyDescent="0.3">
      <c r="A24" s="15" t="s">
        <v>72</v>
      </c>
      <c r="B24" s="15">
        <v>750</v>
      </c>
      <c r="C24" s="15">
        <v>1</v>
      </c>
      <c r="D24" s="15">
        <v>1</v>
      </c>
      <c r="E24" s="16">
        <f>IFERROR(B24/C24*D24,0)</f>
        <v>750</v>
      </c>
    </row>
    <row r="25" spans="1:5" ht="19.95" customHeight="1" x14ac:dyDescent="0.3">
      <c r="A25" s="17" t="s">
        <v>73</v>
      </c>
      <c r="B25" s="18"/>
      <c r="C25" s="18"/>
      <c r="D25" s="18"/>
      <c r="E25" s="19">
        <f>SUM(E22:E24)</f>
        <v>2250</v>
      </c>
    </row>
    <row r="26" spans="1:5" ht="19.95" customHeight="1" x14ac:dyDescent="0.3">
      <c r="A26" s="20" t="s">
        <v>74</v>
      </c>
      <c r="B26" s="21"/>
      <c r="C26" s="21"/>
      <c r="D26" s="21"/>
      <c r="E26" s="22"/>
    </row>
    <row r="27" spans="1:5" ht="34.049999999999997" customHeight="1" x14ac:dyDescent="0.3">
      <c r="A27" s="23" t="s">
        <v>75</v>
      </c>
      <c r="B27" s="23" t="s">
        <v>76</v>
      </c>
      <c r="C27" s="23" t="s">
        <v>77</v>
      </c>
      <c r="D27" s="23" t="s">
        <v>78</v>
      </c>
      <c r="E27" s="23" t="s">
        <v>79</v>
      </c>
    </row>
    <row r="28" spans="1:5" ht="19.95" customHeight="1" x14ac:dyDescent="0.3">
      <c r="A28" s="15" t="s">
        <v>80</v>
      </c>
      <c r="B28" s="15">
        <v>5000</v>
      </c>
      <c r="C28" s="15">
        <v>1</v>
      </c>
      <c r="D28" s="15">
        <v>0.5</v>
      </c>
      <c r="E28" s="16">
        <f>IFERROR(B28/C28*D28,0)</f>
        <v>2500</v>
      </c>
    </row>
    <row r="29" spans="1:5" ht="19.95" customHeight="1" x14ac:dyDescent="0.3">
      <c r="A29" s="17" t="s">
        <v>81</v>
      </c>
      <c r="B29" s="24"/>
      <c r="C29" s="24"/>
      <c r="D29" s="24"/>
      <c r="E29" s="19">
        <f>SUM(E28:E28)</f>
        <v>2500</v>
      </c>
    </row>
    <row r="30" spans="1:5" ht="19.95" customHeight="1" x14ac:dyDescent="0.3">
      <c r="A30" s="25" t="s">
        <v>82</v>
      </c>
      <c r="B30" s="26"/>
      <c r="C30" s="26"/>
      <c r="D30" s="26"/>
      <c r="E30" s="27">
        <f>E25+E29</f>
        <v>4750</v>
      </c>
    </row>
    <row r="31" spans="1:5" ht="19.95" customHeight="1" x14ac:dyDescent="0.3">
      <c r="A31" s="17" t="s">
        <v>83</v>
      </c>
      <c r="B31" s="18"/>
      <c r="C31" s="18"/>
      <c r="D31" s="18"/>
      <c r="E31" s="28">
        <f>'PPTO Vtas Productos'!B6</f>
        <v>25000</v>
      </c>
    </row>
    <row r="32" spans="1:5" ht="19.95" customHeight="1" x14ac:dyDescent="0.3">
      <c r="A32" s="25" t="s">
        <v>84</v>
      </c>
      <c r="B32" s="26"/>
      <c r="C32" s="26"/>
      <c r="D32" s="26"/>
      <c r="E32" s="27">
        <f>E31-E30</f>
        <v>20250</v>
      </c>
    </row>
    <row r="33" spans="1:5" ht="19.95" customHeight="1" x14ac:dyDescent="0.3">
      <c r="A33" s="25" t="s">
        <v>85</v>
      </c>
      <c r="B33" s="26"/>
      <c r="C33" s="26"/>
      <c r="D33" s="26"/>
      <c r="E33" s="29">
        <f>IF(E31&gt;0,E32/E30,"")</f>
        <v>4.2631578947368425</v>
      </c>
    </row>
    <row r="34" spans="1:5" ht="22.95" customHeight="1" x14ac:dyDescent="0.3">
      <c r="A34" s="10" t="str">
        <f>'PPTO Vtas Productos'!A7</f>
        <v>Premium mensual dedicado</v>
      </c>
      <c r="B34" s="4"/>
      <c r="C34" s="4"/>
      <c r="D34" s="4"/>
      <c r="E34" s="4"/>
    </row>
    <row r="35" spans="1:5" ht="19.95" customHeight="1" x14ac:dyDescent="0.3">
      <c r="A35" s="11" t="s">
        <v>65</v>
      </c>
      <c r="B35" s="12"/>
      <c r="C35" s="12"/>
      <c r="D35" s="12"/>
      <c r="E35" s="13"/>
    </row>
    <row r="36" spans="1:5" ht="45" customHeight="1" x14ac:dyDescent="0.3">
      <c r="A36" s="14" t="s">
        <v>66</v>
      </c>
      <c r="B36" s="14" t="s">
        <v>67</v>
      </c>
      <c r="C36" s="14" t="s">
        <v>68</v>
      </c>
      <c r="D36" s="14" t="s">
        <v>69</v>
      </c>
      <c r="E36" s="14" t="s">
        <v>23</v>
      </c>
    </row>
    <row r="37" spans="1:5" ht="19.95" customHeight="1" x14ac:dyDescent="0.3">
      <c r="A37" s="15" t="s">
        <v>86</v>
      </c>
      <c r="B37" s="15">
        <v>5000</v>
      </c>
      <c r="C37" s="15">
        <v>1</v>
      </c>
      <c r="D37" s="15">
        <v>1</v>
      </c>
      <c r="E37" s="16">
        <f>IFERROR(B37/C37*D37,0)</f>
        <v>5000</v>
      </c>
    </row>
    <row r="38" spans="1:5" ht="19.95" customHeight="1" x14ac:dyDescent="0.3">
      <c r="A38" s="15" t="s">
        <v>87</v>
      </c>
      <c r="B38" s="15">
        <v>5000</v>
      </c>
      <c r="C38" s="15">
        <v>1</v>
      </c>
      <c r="D38" s="15">
        <v>1</v>
      </c>
      <c r="E38" s="16">
        <f>IFERROR(B38/C38*D38,0)</f>
        <v>5000</v>
      </c>
    </row>
    <row r="39" spans="1:5" ht="19.95" customHeight="1" x14ac:dyDescent="0.3">
      <c r="A39" s="15" t="s">
        <v>70</v>
      </c>
      <c r="B39" s="15">
        <v>750</v>
      </c>
      <c r="C39" s="15">
        <v>1</v>
      </c>
      <c r="D39" s="15">
        <v>1</v>
      </c>
      <c r="E39" s="16">
        <f>IFERROR(B39/C39*D39,0)</f>
        <v>750</v>
      </c>
    </row>
    <row r="40" spans="1:5" ht="19.95" customHeight="1" x14ac:dyDescent="0.3">
      <c r="A40" s="15" t="s">
        <v>71</v>
      </c>
      <c r="B40" s="15">
        <v>750</v>
      </c>
      <c r="C40" s="15">
        <v>1</v>
      </c>
      <c r="D40" s="15">
        <v>1</v>
      </c>
      <c r="E40" s="16">
        <f>IFERROR(B40/C40*D40,0)</f>
        <v>750</v>
      </c>
    </row>
    <row r="41" spans="1:5" ht="19.95" customHeight="1" x14ac:dyDescent="0.3">
      <c r="A41" s="15" t="s">
        <v>72</v>
      </c>
      <c r="B41" s="15">
        <v>750</v>
      </c>
      <c r="C41" s="15">
        <v>1</v>
      </c>
      <c r="D41" s="15">
        <v>1</v>
      </c>
      <c r="E41" s="16">
        <f>IFERROR(B41/C41*D41,0)</f>
        <v>750</v>
      </c>
    </row>
    <row r="42" spans="1:5" ht="19.95" customHeight="1" x14ac:dyDescent="0.3">
      <c r="A42" s="17" t="s">
        <v>73</v>
      </c>
      <c r="B42" s="18"/>
      <c r="C42" s="18"/>
      <c r="D42" s="18"/>
      <c r="E42" s="19">
        <f>SUM(E37:E41)</f>
        <v>12250</v>
      </c>
    </row>
    <row r="43" spans="1:5" ht="19.95" customHeight="1" x14ac:dyDescent="0.3">
      <c r="A43" s="20" t="s">
        <v>74</v>
      </c>
      <c r="B43" s="21"/>
      <c r="C43" s="21"/>
      <c r="D43" s="21"/>
      <c r="E43" s="22"/>
    </row>
    <row r="44" spans="1:5" ht="34.049999999999997" customHeight="1" x14ac:dyDescent="0.3">
      <c r="A44" s="23" t="s">
        <v>75</v>
      </c>
      <c r="B44" s="23" t="s">
        <v>76</v>
      </c>
      <c r="C44" s="23" t="s">
        <v>77</v>
      </c>
      <c r="D44" s="23" t="s">
        <v>78</v>
      </c>
      <c r="E44" s="23" t="s">
        <v>79</v>
      </c>
    </row>
    <row r="45" spans="1:5" ht="19.95" customHeight="1" x14ac:dyDescent="0.3">
      <c r="A45" s="15" t="s">
        <v>80</v>
      </c>
      <c r="B45" s="15">
        <v>5000</v>
      </c>
      <c r="C45" s="15">
        <v>1</v>
      </c>
      <c r="D45" s="15">
        <v>1</v>
      </c>
      <c r="E45" s="16">
        <f>IFERROR(B45/C45*D45,0)</f>
        <v>5000</v>
      </c>
    </row>
    <row r="46" spans="1:5" ht="19.95" customHeight="1" x14ac:dyDescent="0.3">
      <c r="A46" s="17" t="s">
        <v>81</v>
      </c>
      <c r="B46" s="24"/>
      <c r="C46" s="24"/>
      <c r="D46" s="24"/>
      <c r="E46" s="19">
        <f>SUM(E45:E45)</f>
        <v>5000</v>
      </c>
    </row>
    <row r="47" spans="1:5" ht="19.95" customHeight="1" x14ac:dyDescent="0.3">
      <c r="A47" s="25" t="s">
        <v>82</v>
      </c>
      <c r="B47" s="26"/>
      <c r="C47" s="26"/>
      <c r="D47" s="26"/>
      <c r="E47" s="27">
        <f>E42+E46</f>
        <v>17250</v>
      </c>
    </row>
    <row r="48" spans="1:5" ht="19.95" customHeight="1" x14ac:dyDescent="0.3">
      <c r="A48" s="17" t="s">
        <v>83</v>
      </c>
      <c r="B48" s="18"/>
      <c r="C48" s="18"/>
      <c r="D48" s="18"/>
      <c r="E48" s="28">
        <f>'PPTO Vtas Productos'!B7</f>
        <v>45000</v>
      </c>
    </row>
    <row r="49" spans="1:5" ht="19.95" customHeight="1" x14ac:dyDescent="0.3">
      <c r="A49" s="25" t="s">
        <v>84</v>
      </c>
      <c r="B49" s="26"/>
      <c r="C49" s="26"/>
      <c r="D49" s="26"/>
      <c r="E49" s="27">
        <f>E48-E47</f>
        <v>27750</v>
      </c>
    </row>
    <row r="50" spans="1:5" ht="19.95" customHeight="1" x14ac:dyDescent="0.3">
      <c r="A50" s="25" t="s">
        <v>85</v>
      </c>
      <c r="B50" s="26"/>
      <c r="C50" s="26"/>
      <c r="D50" s="26"/>
      <c r="E50" s="29">
        <f>IF(E48&gt;0,E49/E47,"")</f>
        <v>1.6086956521739131</v>
      </c>
    </row>
    <row r="51" spans="1:5" ht="22.95" customHeight="1" x14ac:dyDescent="0.3">
      <c r="A51" s="10" t="str">
        <f>'PPTO Vtas Productos'!A8</f>
        <v>Enterprise mensual desde</v>
      </c>
      <c r="B51" s="4"/>
      <c r="C51" s="4"/>
      <c r="D51" s="4"/>
      <c r="E51" s="4"/>
    </row>
    <row r="52" spans="1:5" ht="19.95" customHeight="1" x14ac:dyDescent="0.3">
      <c r="A52" s="11" t="s">
        <v>65</v>
      </c>
      <c r="B52" s="12"/>
      <c r="C52" s="12"/>
      <c r="D52" s="12"/>
      <c r="E52" s="13"/>
    </row>
    <row r="53" spans="1:5" ht="45" customHeight="1" x14ac:dyDescent="0.3">
      <c r="A53" s="14" t="s">
        <v>66</v>
      </c>
      <c r="B53" s="14" t="s">
        <v>67</v>
      </c>
      <c r="C53" s="14" t="s">
        <v>68</v>
      </c>
      <c r="D53" s="14" t="s">
        <v>69</v>
      </c>
      <c r="E53" s="14" t="s">
        <v>23</v>
      </c>
    </row>
    <row r="54" spans="1:5" ht="19.95" customHeight="1" x14ac:dyDescent="0.3">
      <c r="A54" s="15" t="s">
        <v>86</v>
      </c>
      <c r="B54" s="15">
        <v>5000</v>
      </c>
      <c r="C54" s="15">
        <v>1</v>
      </c>
      <c r="D54" s="15">
        <v>1</v>
      </c>
      <c r="E54" s="16">
        <f>IFERROR(B54/C54*D54,0)</f>
        <v>5000</v>
      </c>
    </row>
    <row r="55" spans="1:5" ht="19.95" customHeight="1" x14ac:dyDescent="0.3">
      <c r="A55" s="15" t="s">
        <v>87</v>
      </c>
      <c r="B55" s="15">
        <v>5000</v>
      </c>
      <c r="C55" s="15">
        <v>1</v>
      </c>
      <c r="D55" s="15">
        <v>1</v>
      </c>
      <c r="E55" s="16">
        <f>IFERROR(B55/C55*D55,0)</f>
        <v>5000</v>
      </c>
    </row>
    <row r="56" spans="1:5" ht="19.95" customHeight="1" x14ac:dyDescent="0.3">
      <c r="A56" s="15" t="s">
        <v>70</v>
      </c>
      <c r="B56" s="15">
        <v>750</v>
      </c>
      <c r="C56" s="15">
        <v>1</v>
      </c>
      <c r="D56" s="15">
        <v>1</v>
      </c>
      <c r="E56" s="16">
        <f>IFERROR(B56/C56*D56,0)</f>
        <v>750</v>
      </c>
    </row>
    <row r="57" spans="1:5" ht="19.95" customHeight="1" x14ac:dyDescent="0.3">
      <c r="A57" s="15" t="s">
        <v>71</v>
      </c>
      <c r="B57" s="15">
        <v>750</v>
      </c>
      <c r="C57" s="15">
        <v>1</v>
      </c>
      <c r="D57" s="15">
        <v>1</v>
      </c>
      <c r="E57" s="16">
        <f>IFERROR(B57/C57*D57,0)</f>
        <v>750</v>
      </c>
    </row>
    <row r="58" spans="1:5" ht="19.95" customHeight="1" x14ac:dyDescent="0.3">
      <c r="A58" s="15" t="s">
        <v>72</v>
      </c>
      <c r="B58" s="15">
        <v>750</v>
      </c>
      <c r="C58" s="15">
        <v>1</v>
      </c>
      <c r="D58" s="15">
        <v>1</v>
      </c>
      <c r="E58" s="16">
        <f>IFERROR(B58/C58*D58,0)</f>
        <v>750</v>
      </c>
    </row>
    <row r="59" spans="1:5" ht="19.95" customHeight="1" x14ac:dyDescent="0.3">
      <c r="A59" s="17" t="s">
        <v>73</v>
      </c>
      <c r="B59" s="18"/>
      <c r="C59" s="18"/>
      <c r="D59" s="18"/>
      <c r="E59" s="19">
        <f>SUM(E54:E58)</f>
        <v>12250</v>
      </c>
    </row>
    <row r="60" spans="1:5" ht="19.95" customHeight="1" x14ac:dyDescent="0.3">
      <c r="A60" s="20" t="s">
        <v>74</v>
      </c>
      <c r="B60" s="21"/>
      <c r="C60" s="21"/>
      <c r="D60" s="21"/>
      <c r="E60" s="22"/>
    </row>
    <row r="61" spans="1:5" ht="34.049999999999997" customHeight="1" x14ac:dyDescent="0.3">
      <c r="A61" s="23" t="s">
        <v>75</v>
      </c>
      <c r="B61" s="23" t="s">
        <v>76</v>
      </c>
      <c r="C61" s="23" t="s">
        <v>77</v>
      </c>
      <c r="D61" s="23" t="s">
        <v>78</v>
      </c>
      <c r="E61" s="23" t="s">
        <v>79</v>
      </c>
    </row>
    <row r="62" spans="1:5" ht="19.95" customHeight="1" x14ac:dyDescent="0.3">
      <c r="A62" s="15" t="s">
        <v>80</v>
      </c>
      <c r="B62" s="15">
        <v>5000</v>
      </c>
      <c r="C62" s="15">
        <v>1</v>
      </c>
      <c r="D62" s="15">
        <v>1</v>
      </c>
      <c r="E62" s="16">
        <f>IFERROR(B62/C62*D62,0)</f>
        <v>5000</v>
      </c>
    </row>
    <row r="63" spans="1:5" ht="19.95" customHeight="1" x14ac:dyDescent="0.3">
      <c r="A63" s="17" t="s">
        <v>81</v>
      </c>
      <c r="B63" s="24"/>
      <c r="C63" s="24"/>
      <c r="D63" s="24"/>
      <c r="E63" s="19">
        <f>SUM(E62:E62)</f>
        <v>5000</v>
      </c>
    </row>
    <row r="64" spans="1:5" ht="19.95" customHeight="1" x14ac:dyDescent="0.3">
      <c r="A64" s="25" t="s">
        <v>82</v>
      </c>
      <c r="B64" s="26"/>
      <c r="C64" s="26"/>
      <c r="D64" s="26"/>
      <c r="E64" s="27">
        <f>E59+E63</f>
        <v>17250</v>
      </c>
    </row>
    <row r="65" spans="1:5" ht="19.95" customHeight="1" x14ac:dyDescent="0.3">
      <c r="A65" s="17" t="s">
        <v>83</v>
      </c>
      <c r="B65" s="18"/>
      <c r="C65" s="18"/>
      <c r="D65" s="18"/>
      <c r="E65" s="28">
        <f>'PPTO Vtas Productos'!B8</f>
        <v>70000</v>
      </c>
    </row>
    <row r="66" spans="1:5" ht="19.95" customHeight="1" x14ac:dyDescent="0.3">
      <c r="A66" s="25" t="s">
        <v>84</v>
      </c>
      <c r="B66" s="26"/>
      <c r="C66" s="26"/>
      <c r="D66" s="26"/>
      <c r="E66" s="27">
        <f>E65-E64</f>
        <v>52750</v>
      </c>
    </row>
    <row r="67" spans="1:5" ht="19.95" customHeight="1" x14ac:dyDescent="0.3">
      <c r="A67" s="25" t="s">
        <v>85</v>
      </c>
      <c r="B67" s="26"/>
      <c r="C67" s="26"/>
      <c r="D67" s="26"/>
      <c r="E67" s="29">
        <f>IF(E65&gt;0,E66/E64,"")</f>
        <v>3.0579710144927534</v>
      </c>
    </row>
    <row r="68" spans="1:5" ht="22.95" customHeight="1" x14ac:dyDescent="0.3">
      <c r="A68" s="10" t="str">
        <f>'PPTO Vtas Productos'!A9</f>
        <v>Instalación básica</v>
      </c>
      <c r="B68" s="4"/>
      <c r="C68" s="4"/>
      <c r="D68" s="4"/>
      <c r="E68" s="4"/>
    </row>
    <row r="69" spans="1:5" ht="19.95" customHeight="1" x14ac:dyDescent="0.3">
      <c r="A69" s="20" t="s">
        <v>74</v>
      </c>
      <c r="B69" s="21"/>
      <c r="C69" s="21"/>
      <c r="D69" s="21"/>
      <c r="E69" s="22"/>
    </row>
    <row r="70" spans="1:5" ht="34.049999999999997" customHeight="1" x14ac:dyDescent="0.3">
      <c r="A70" s="23" t="s">
        <v>75</v>
      </c>
      <c r="B70" s="23" t="s">
        <v>76</v>
      </c>
      <c r="C70" s="23" t="s">
        <v>77</v>
      </c>
      <c r="D70" s="23" t="s">
        <v>78</v>
      </c>
      <c r="E70" s="23" t="s">
        <v>79</v>
      </c>
    </row>
    <row r="71" spans="1:5" ht="19.95" customHeight="1" x14ac:dyDescent="0.3">
      <c r="A71" s="15" t="s">
        <v>88</v>
      </c>
      <c r="B71" s="15">
        <v>5000</v>
      </c>
      <c r="C71" s="15">
        <v>1</v>
      </c>
      <c r="D71" s="15">
        <v>2</v>
      </c>
      <c r="E71" s="16">
        <f>IFERROR(B71/C71*D71,0)</f>
        <v>10000</v>
      </c>
    </row>
    <row r="72" spans="1:5" ht="19.95" customHeight="1" x14ac:dyDescent="0.3">
      <c r="A72" s="15" t="s">
        <v>89</v>
      </c>
      <c r="B72" s="15">
        <v>5000</v>
      </c>
      <c r="C72" s="15">
        <v>1</v>
      </c>
      <c r="D72" s="15">
        <v>1</v>
      </c>
      <c r="E72" s="16">
        <f>IFERROR(B72/C72*D72,0)</f>
        <v>5000</v>
      </c>
    </row>
    <row r="73" spans="1:5" ht="19.95" customHeight="1" x14ac:dyDescent="0.3">
      <c r="A73" s="15" t="s">
        <v>90</v>
      </c>
      <c r="B73" s="15">
        <v>5000</v>
      </c>
      <c r="C73" s="15">
        <v>1</v>
      </c>
      <c r="D73" s="15">
        <v>2</v>
      </c>
      <c r="E73" s="16">
        <f>IFERROR(B73/C73*D73,0)</f>
        <v>10000</v>
      </c>
    </row>
    <row r="74" spans="1:5" ht="19.95" customHeight="1" x14ac:dyDescent="0.3">
      <c r="A74" s="15" t="s">
        <v>91</v>
      </c>
      <c r="B74" s="15">
        <v>5000</v>
      </c>
      <c r="C74" s="15">
        <v>1</v>
      </c>
      <c r="D74" s="15">
        <v>1</v>
      </c>
      <c r="E74" s="16">
        <f>IFERROR(B74/C74*D74,0)</f>
        <v>5000</v>
      </c>
    </row>
    <row r="75" spans="1:5" ht="19.95" customHeight="1" x14ac:dyDescent="0.3">
      <c r="A75" s="15" t="s">
        <v>92</v>
      </c>
      <c r="B75" s="15">
        <v>5000</v>
      </c>
      <c r="C75" s="15">
        <v>1</v>
      </c>
      <c r="D75" s="15">
        <v>2</v>
      </c>
      <c r="E75" s="16">
        <f>IFERROR(B75/C75*D75,0)</f>
        <v>10000</v>
      </c>
    </row>
    <row r="76" spans="1:5" ht="19.95" customHeight="1" x14ac:dyDescent="0.3">
      <c r="A76" s="17" t="s">
        <v>81</v>
      </c>
      <c r="B76" s="24"/>
      <c r="C76" s="24"/>
      <c r="D76" s="24"/>
      <c r="E76" s="19">
        <f>SUM(E71:E75)</f>
        <v>40000</v>
      </c>
    </row>
    <row r="77" spans="1:5" ht="19.95" customHeight="1" x14ac:dyDescent="0.3">
      <c r="A77" s="25" t="s">
        <v>82</v>
      </c>
      <c r="B77" s="26"/>
      <c r="C77" s="26"/>
      <c r="D77" s="26"/>
      <c r="E77" s="27">
        <f>E76</f>
        <v>40000</v>
      </c>
    </row>
    <row r="78" spans="1:5" ht="19.95" customHeight="1" x14ac:dyDescent="0.3">
      <c r="A78" s="17" t="s">
        <v>93</v>
      </c>
      <c r="B78" s="18"/>
      <c r="C78" s="18"/>
      <c r="D78" s="18"/>
      <c r="E78" s="28">
        <f>'PPTO Vtas Productos'!B9</f>
        <v>0</v>
      </c>
    </row>
    <row r="79" spans="1:5" ht="19.95" customHeight="1" x14ac:dyDescent="0.3">
      <c r="A79" s="25" t="s">
        <v>94</v>
      </c>
      <c r="B79" s="26"/>
      <c r="C79" s="26"/>
      <c r="D79" s="26"/>
      <c r="E79" s="27">
        <f>E78-E77</f>
        <v>-40000</v>
      </c>
    </row>
    <row r="80" spans="1:5" ht="22.95" customHeight="1" x14ac:dyDescent="0.3">
      <c r="A80" s="10" t="str">
        <f>'PPTO Vtas Productos'!A10</f>
        <v>Instalación premium</v>
      </c>
      <c r="B80" s="4"/>
      <c r="C80" s="4"/>
      <c r="D80" s="4"/>
      <c r="E80" s="4"/>
    </row>
    <row r="81" spans="1:5" ht="19.95" customHeight="1" x14ac:dyDescent="0.3">
      <c r="A81" s="20" t="s">
        <v>74</v>
      </c>
      <c r="B81" s="21"/>
      <c r="C81" s="21"/>
      <c r="D81" s="21"/>
      <c r="E81" s="22"/>
    </row>
    <row r="82" spans="1:5" ht="34.049999999999997" customHeight="1" x14ac:dyDescent="0.3">
      <c r="A82" s="23" t="s">
        <v>75</v>
      </c>
      <c r="B82" s="23" t="s">
        <v>76</v>
      </c>
      <c r="C82" s="23" t="s">
        <v>77</v>
      </c>
      <c r="D82" s="23" t="s">
        <v>78</v>
      </c>
      <c r="E82" s="23" t="s">
        <v>79</v>
      </c>
    </row>
    <row r="83" spans="1:5" ht="19.95" customHeight="1" x14ac:dyDescent="0.3">
      <c r="A83" s="15" t="s">
        <v>95</v>
      </c>
      <c r="B83" s="15">
        <v>5000</v>
      </c>
      <c r="C83" s="15">
        <v>1</v>
      </c>
      <c r="D83" s="15">
        <v>8</v>
      </c>
      <c r="E83" s="16">
        <f>IFERROR(B83/C83*D83,0)</f>
        <v>40000</v>
      </c>
    </row>
    <row r="84" spans="1:5" ht="19.95" customHeight="1" x14ac:dyDescent="0.3">
      <c r="A84" s="15" t="s">
        <v>96</v>
      </c>
      <c r="B84" s="15">
        <v>5000</v>
      </c>
      <c r="C84" s="15">
        <v>1</v>
      </c>
      <c r="D84" s="15">
        <v>3</v>
      </c>
      <c r="E84" s="16">
        <f>IFERROR(B84/C84*D84,0)</f>
        <v>15000</v>
      </c>
    </row>
    <row r="85" spans="1:5" ht="19.95" customHeight="1" x14ac:dyDescent="0.3">
      <c r="A85" s="15" t="s">
        <v>97</v>
      </c>
      <c r="B85" s="15">
        <v>5000</v>
      </c>
      <c r="C85" s="15">
        <v>1</v>
      </c>
      <c r="D85" s="15">
        <v>3</v>
      </c>
      <c r="E85" s="16">
        <f>IFERROR(B85/C85*D85,0)</f>
        <v>15000</v>
      </c>
    </row>
    <row r="86" spans="1:5" ht="19.95" customHeight="1" x14ac:dyDescent="0.3">
      <c r="A86" s="15" t="s">
        <v>98</v>
      </c>
      <c r="B86" s="15">
        <v>5000</v>
      </c>
      <c r="C86" s="15">
        <v>1</v>
      </c>
      <c r="D86" s="15">
        <v>2</v>
      </c>
      <c r="E86" s="16">
        <f>IFERROR(B86/C86*D86,0)</f>
        <v>10000</v>
      </c>
    </row>
    <row r="87" spans="1:5" ht="19.95" customHeight="1" x14ac:dyDescent="0.3">
      <c r="A87" s="15" t="s">
        <v>99</v>
      </c>
      <c r="B87" s="15">
        <v>5000</v>
      </c>
      <c r="C87" s="15">
        <v>1</v>
      </c>
      <c r="D87" s="15">
        <v>2</v>
      </c>
      <c r="E87" s="16">
        <f>IFERROR(B87/C87*D87,0)</f>
        <v>10000</v>
      </c>
    </row>
    <row r="88" spans="1:5" ht="19.95" customHeight="1" x14ac:dyDescent="0.3">
      <c r="A88" s="17" t="s">
        <v>81</v>
      </c>
      <c r="B88" s="24"/>
      <c r="C88" s="24"/>
      <c r="D88" s="24"/>
      <c r="E88" s="19">
        <f>SUM(E83:E87)</f>
        <v>90000</v>
      </c>
    </row>
    <row r="89" spans="1:5" ht="19.95" customHeight="1" x14ac:dyDescent="0.3">
      <c r="A89" s="25" t="s">
        <v>82</v>
      </c>
      <c r="B89" s="26"/>
      <c r="C89" s="26"/>
      <c r="D89" s="26"/>
      <c r="E89" s="27">
        <f>E88</f>
        <v>90000</v>
      </c>
    </row>
    <row r="90" spans="1:5" ht="19.95" customHeight="1" x14ac:dyDescent="0.3">
      <c r="A90" s="17" t="s">
        <v>93</v>
      </c>
      <c r="B90" s="18"/>
      <c r="C90" s="18"/>
      <c r="D90" s="18"/>
      <c r="E90" s="30">
        <f>'PPTO Vtas Productos'!B10</f>
        <v>0</v>
      </c>
    </row>
    <row r="91" spans="1:5" ht="19.95" customHeight="1" x14ac:dyDescent="0.3">
      <c r="A91" s="25" t="s">
        <v>100</v>
      </c>
      <c r="B91" s="26"/>
      <c r="C91" s="26"/>
      <c r="D91" s="26"/>
      <c r="E91" s="27" t="str">
        <f>IF('PPTO Vtas Servicios'!B12&gt;0,E90-E89,"Por cotizar")</f>
        <v>Por cotizar</v>
      </c>
    </row>
    <row r="92" spans="1:5" ht="19.95" customHeight="1" x14ac:dyDescent="0.3">
      <c r="A92" s="25" t="s">
        <v>85</v>
      </c>
      <c r="B92" s="26"/>
      <c r="C92" s="26"/>
      <c r="D92" s="26"/>
      <c r="E92" s="29" t="str">
        <f>IF('PPTO Vtas Servicios'!B12&gt;0,E91/E89,"Por cotizar")</f>
        <v>Por cotizar</v>
      </c>
    </row>
    <row r="93" spans="1:5" ht="40.049999999999997" customHeight="1" x14ac:dyDescent="0.3">
      <c r="A93" s="10" t="str">
        <f>'PPTO Vtas Productos'!A11</f>
        <v>Operación fija plataforma</v>
      </c>
      <c r="B93" s="4"/>
      <c r="C93" s="4"/>
      <c r="D93" s="4"/>
      <c r="E93" s="4"/>
    </row>
    <row r="94" spans="1:5" ht="19.95" customHeight="1" x14ac:dyDescent="0.3">
      <c r="A94" s="11" t="s">
        <v>65</v>
      </c>
      <c r="B94" s="12"/>
      <c r="C94" s="12"/>
      <c r="D94" s="12"/>
      <c r="E94" s="13"/>
    </row>
    <row r="95" spans="1:5" ht="45" customHeight="1" x14ac:dyDescent="0.3">
      <c r="A95" s="14" t="s">
        <v>66</v>
      </c>
      <c r="B95" s="14" t="s">
        <v>67</v>
      </c>
      <c r="C95" s="14" t="s">
        <v>68</v>
      </c>
      <c r="D95" s="14" t="s">
        <v>69</v>
      </c>
      <c r="E95" s="14" t="s">
        <v>23</v>
      </c>
    </row>
    <row r="96" spans="1:5" ht="19.95" customHeight="1" x14ac:dyDescent="0.3">
      <c r="A96" s="15" t="s">
        <v>101</v>
      </c>
      <c r="B96" s="15">
        <v>10000</v>
      </c>
      <c r="C96" s="15">
        <v>1</v>
      </c>
      <c r="D96" s="15">
        <v>1</v>
      </c>
      <c r="E96" s="16">
        <f t="shared" ref="E96:E105" si="0">IFERROR(B96/C96*D96,0)</f>
        <v>10000</v>
      </c>
    </row>
    <row r="97" spans="1:5" ht="19.95" customHeight="1" x14ac:dyDescent="0.3">
      <c r="A97" s="15" t="s">
        <v>102</v>
      </c>
      <c r="B97" s="15">
        <v>12500</v>
      </c>
      <c r="C97" s="15">
        <v>1</v>
      </c>
      <c r="D97" s="15">
        <v>1</v>
      </c>
      <c r="E97" s="16">
        <f t="shared" si="0"/>
        <v>12500</v>
      </c>
    </row>
    <row r="98" spans="1:5" ht="19.95" customHeight="1" x14ac:dyDescent="0.3">
      <c r="A98" s="15" t="s">
        <v>103</v>
      </c>
      <c r="B98" s="15">
        <v>5000</v>
      </c>
      <c r="C98" s="15">
        <v>1</v>
      </c>
      <c r="D98" s="15">
        <v>1</v>
      </c>
      <c r="E98" s="16">
        <f t="shared" si="0"/>
        <v>5000</v>
      </c>
    </row>
    <row r="99" spans="1:5" ht="19.95" customHeight="1" x14ac:dyDescent="0.3">
      <c r="A99" s="15" t="s">
        <v>104</v>
      </c>
      <c r="B99" s="15">
        <v>625</v>
      </c>
      <c r="C99" s="15">
        <v>1</v>
      </c>
      <c r="D99" s="15">
        <v>1</v>
      </c>
      <c r="E99" s="16">
        <f t="shared" si="0"/>
        <v>625</v>
      </c>
    </row>
    <row r="100" spans="1:5" ht="19.95" customHeight="1" x14ac:dyDescent="0.3">
      <c r="A100" s="15" t="s">
        <v>105</v>
      </c>
      <c r="B100" s="15">
        <v>0</v>
      </c>
      <c r="C100" s="15">
        <v>1</v>
      </c>
      <c r="D100" s="15">
        <v>1</v>
      </c>
      <c r="E100" s="16">
        <f t="shared" si="0"/>
        <v>0</v>
      </c>
    </row>
    <row r="101" spans="1:5" ht="19.95" customHeight="1" x14ac:dyDescent="0.3">
      <c r="A101" s="15" t="s">
        <v>106</v>
      </c>
      <c r="B101" s="15">
        <v>3500</v>
      </c>
      <c r="C101" s="15">
        <v>1</v>
      </c>
      <c r="D101" s="15">
        <v>1</v>
      </c>
      <c r="E101" s="16">
        <f t="shared" si="0"/>
        <v>3500</v>
      </c>
    </row>
    <row r="102" spans="1:5" ht="19.95" customHeight="1" x14ac:dyDescent="0.3">
      <c r="A102" s="15" t="s">
        <v>107</v>
      </c>
      <c r="B102" s="15">
        <v>2500</v>
      </c>
      <c r="C102" s="15">
        <v>1</v>
      </c>
      <c r="D102" s="15">
        <v>1</v>
      </c>
      <c r="E102" s="16">
        <f t="shared" si="0"/>
        <v>2500</v>
      </c>
    </row>
    <row r="103" spans="1:5" ht="19.95" customHeight="1" x14ac:dyDescent="0.3">
      <c r="A103" s="15" t="s">
        <v>108</v>
      </c>
      <c r="B103" s="15">
        <v>20000</v>
      </c>
      <c r="C103" s="15">
        <v>1</v>
      </c>
      <c r="D103" s="15">
        <v>1</v>
      </c>
      <c r="E103" s="16">
        <f t="shared" si="0"/>
        <v>20000</v>
      </c>
    </row>
    <row r="104" spans="1:5" ht="19.95" customHeight="1" x14ac:dyDescent="0.3">
      <c r="A104" s="15" t="s">
        <v>109</v>
      </c>
      <c r="B104" s="15">
        <v>5000</v>
      </c>
      <c r="C104" s="15">
        <v>1</v>
      </c>
      <c r="D104" s="15">
        <v>1</v>
      </c>
      <c r="E104" s="16">
        <f t="shared" si="0"/>
        <v>5000</v>
      </c>
    </row>
    <row r="105" spans="1:5" ht="19.95" customHeight="1" x14ac:dyDescent="0.3">
      <c r="A105" s="15" t="s">
        <v>110</v>
      </c>
      <c r="B105" s="15">
        <v>2000</v>
      </c>
      <c r="C105" s="15">
        <v>1</v>
      </c>
      <c r="D105" s="15">
        <v>1</v>
      </c>
      <c r="E105" s="16">
        <f t="shared" si="0"/>
        <v>2000</v>
      </c>
    </row>
    <row r="106" spans="1:5" ht="19.95" customHeight="1" x14ac:dyDescent="0.3">
      <c r="A106" s="17" t="s">
        <v>73</v>
      </c>
      <c r="B106" s="18"/>
      <c r="C106" s="18"/>
      <c r="D106" s="18"/>
      <c r="E106" s="19">
        <f>SUM(E96:E105)</f>
        <v>61125</v>
      </c>
    </row>
    <row r="107" spans="1:5" ht="19.95" customHeight="1" x14ac:dyDescent="0.3">
      <c r="A107" s="25" t="s">
        <v>111</v>
      </c>
      <c r="B107" s="26"/>
      <c r="C107" s="26"/>
      <c r="D107" s="26"/>
      <c r="E107" s="27">
        <f>E106</f>
        <v>61125</v>
      </c>
    </row>
    <row r="108" spans="1:5" ht="22.95" customHeight="1" x14ac:dyDescent="0.3">
      <c r="A108" s="10" t="str">
        <f>'PPTO Vtas Productos'!A12</f>
        <v>Instalación Enterprise</v>
      </c>
      <c r="B108" s="4"/>
      <c r="C108" s="4"/>
      <c r="D108" s="4"/>
      <c r="E108" s="4"/>
    </row>
    <row r="109" spans="1:5" ht="19.95" customHeight="1" x14ac:dyDescent="0.3">
      <c r="A109" s="20" t="s">
        <v>74</v>
      </c>
      <c r="B109" s="21"/>
      <c r="C109" s="21"/>
      <c r="D109" s="21"/>
      <c r="E109" s="22"/>
    </row>
    <row r="110" spans="1:5" ht="34.049999999999997" customHeight="1" x14ac:dyDescent="0.3">
      <c r="A110" s="23" t="s">
        <v>75</v>
      </c>
      <c r="B110" s="23" t="s">
        <v>76</v>
      </c>
      <c r="C110" s="23" t="s">
        <v>77</v>
      </c>
      <c r="D110" s="23" t="s">
        <v>78</v>
      </c>
      <c r="E110" s="23" t="s">
        <v>79</v>
      </c>
    </row>
    <row r="111" spans="1:5" ht="19.95" customHeight="1" x14ac:dyDescent="0.3">
      <c r="A111" s="15" t="s">
        <v>95</v>
      </c>
      <c r="B111" s="15">
        <v>5000</v>
      </c>
      <c r="C111" s="15">
        <v>1</v>
      </c>
      <c r="D111" s="15">
        <v>8</v>
      </c>
      <c r="E111" s="16">
        <f>IFERROR(B111/C111*D111,0)</f>
        <v>40000</v>
      </c>
    </row>
    <row r="112" spans="1:5" ht="19.95" customHeight="1" x14ac:dyDescent="0.3">
      <c r="A112" s="15" t="s">
        <v>96</v>
      </c>
      <c r="B112" s="15">
        <v>5000</v>
      </c>
      <c r="C112" s="15">
        <v>1</v>
      </c>
      <c r="D112" s="15">
        <v>3</v>
      </c>
      <c r="E112" s="16">
        <f>IFERROR(B112/C112*D112,0)</f>
        <v>15000</v>
      </c>
    </row>
    <row r="113" spans="1:5" ht="19.95" customHeight="1" x14ac:dyDescent="0.3">
      <c r="A113" s="15" t="s">
        <v>97</v>
      </c>
      <c r="B113" s="15">
        <v>5000</v>
      </c>
      <c r="C113" s="15">
        <v>1</v>
      </c>
      <c r="D113" s="15">
        <v>3</v>
      </c>
      <c r="E113" s="16">
        <f>IFERROR(B113/C113*D113,0)</f>
        <v>15000</v>
      </c>
    </row>
    <row r="114" spans="1:5" ht="19.95" customHeight="1" x14ac:dyDescent="0.3">
      <c r="A114" s="15" t="s">
        <v>98</v>
      </c>
      <c r="B114" s="15">
        <v>5000</v>
      </c>
      <c r="C114" s="15">
        <v>1</v>
      </c>
      <c r="D114" s="15">
        <v>2</v>
      </c>
      <c r="E114" s="16">
        <f>IFERROR(B114/C114*D114,0)</f>
        <v>10000</v>
      </c>
    </row>
    <row r="115" spans="1:5" ht="19.95" customHeight="1" x14ac:dyDescent="0.3">
      <c r="A115" s="15" t="s">
        <v>99</v>
      </c>
      <c r="B115" s="15">
        <v>5000</v>
      </c>
      <c r="C115" s="15">
        <v>1</v>
      </c>
      <c r="D115" s="15">
        <v>2</v>
      </c>
      <c r="E115" s="16">
        <f>IFERROR(B115/C115*D115,0)</f>
        <v>10000</v>
      </c>
    </row>
    <row r="116" spans="1:5" ht="19.95" customHeight="1" x14ac:dyDescent="0.3">
      <c r="A116" s="17" t="s">
        <v>81</v>
      </c>
      <c r="B116" s="24"/>
      <c r="C116" s="24"/>
      <c r="D116" s="24"/>
      <c r="E116" s="19">
        <f>SUM(E111:E115)</f>
        <v>90000</v>
      </c>
    </row>
    <row r="117" spans="1:5" ht="19.95" customHeight="1" x14ac:dyDescent="0.3">
      <c r="A117" s="25" t="s">
        <v>82</v>
      </c>
      <c r="B117" s="26"/>
      <c r="C117" s="26"/>
      <c r="D117" s="26"/>
      <c r="E117" s="27">
        <f>E116</f>
        <v>90000</v>
      </c>
    </row>
    <row r="118" spans="1:5" ht="19.95" customHeight="1" x14ac:dyDescent="0.3">
      <c r="A118" s="17" t="s">
        <v>93</v>
      </c>
      <c r="B118" s="18"/>
      <c r="C118" s="18"/>
      <c r="D118" s="18"/>
      <c r="E118" s="30">
        <f>'PPTO Vtas Servicios'!B14</f>
        <v>0</v>
      </c>
    </row>
    <row r="119" spans="1:5" ht="19.95" customHeight="1" x14ac:dyDescent="0.3">
      <c r="A119" s="25" t="s">
        <v>100</v>
      </c>
      <c r="B119" s="26"/>
      <c r="C119" s="26"/>
      <c r="D119" s="26"/>
      <c r="E119" s="27" t="str">
        <f>IF('PPTO Vtas Servicios'!B14&gt;0,E118-E117,"Por cotizar")</f>
        <v>Por cotizar</v>
      </c>
    </row>
    <row r="120" spans="1:5" ht="19.95" customHeight="1" x14ac:dyDescent="0.3">
      <c r="A120" s="25" t="s">
        <v>85</v>
      </c>
      <c r="B120" s="26"/>
      <c r="C120" s="26"/>
      <c r="D120" s="26"/>
      <c r="E120" s="29" t="str">
        <f>IF('PPTO Vtas Servicios'!B14&gt;0,E119/E117,"Por cotizar")</f>
        <v>Por cotizar</v>
      </c>
    </row>
  </sheetData>
  <pageMargins left="0.75" right="0.75" top="1" bottom="1" header="0.5" footer="0.5"/>
  <pageSetup paperSize="8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7"/>
  <sheetViews>
    <sheetView showGridLines="0" workbookViewId="0"/>
  </sheetViews>
  <sheetFormatPr baseColWidth="10" defaultColWidth="8.88671875" defaultRowHeight="14.4" x14ac:dyDescent="0.3"/>
  <cols>
    <col min="1" max="1" width="36.109375" customWidth="1"/>
    <col min="2" max="2" width="14.109375" customWidth="1"/>
    <col min="3" max="15" width="13" customWidth="1"/>
  </cols>
  <sheetData>
    <row r="1" spans="1:15" ht="19.95" customHeight="1" x14ac:dyDescent="0.3">
      <c r="A1" s="1" t="s">
        <v>112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95" customHeight="1" x14ac:dyDescent="0.3">
      <c r="A2" s="1" t="str">
        <f>'PPTO Vtas Productos'!A2</f>
        <v>PULSO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31.95" customHeight="1" x14ac:dyDescent="0.3">
      <c r="A3" s="2" t="s">
        <v>113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9.95" customHeight="1" x14ac:dyDescent="0.3">
      <c r="A4" s="4"/>
      <c r="B4" s="4"/>
      <c r="C4" s="31" t="s">
        <v>114</v>
      </c>
      <c r="D4" s="31" t="s">
        <v>115</v>
      </c>
      <c r="E4" s="31" t="s">
        <v>116</v>
      </c>
      <c r="F4" s="31" t="s">
        <v>117</v>
      </c>
      <c r="G4" s="31" t="s">
        <v>118</v>
      </c>
      <c r="H4" s="31" t="s">
        <v>119</v>
      </c>
      <c r="I4" s="31" t="s">
        <v>120</v>
      </c>
      <c r="J4" s="31" t="s">
        <v>121</v>
      </c>
      <c r="K4" s="31" t="s">
        <v>122</v>
      </c>
      <c r="L4" s="31" t="s">
        <v>123</v>
      </c>
      <c r="M4" s="31" t="s">
        <v>124</v>
      </c>
      <c r="N4" s="31" t="s">
        <v>125</v>
      </c>
      <c r="O4" s="32" t="s">
        <v>126</v>
      </c>
    </row>
    <row r="5" spans="1:15" ht="34.049999999999997" customHeight="1" x14ac:dyDescent="0.3">
      <c r="A5" s="33"/>
      <c r="B5" s="34" t="s">
        <v>127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4.049999999999997" customHeight="1" x14ac:dyDescent="0.3">
      <c r="A6" s="5" t="s">
        <v>128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19.95" customHeight="1" x14ac:dyDescent="0.3">
      <c r="A7" s="6" t="s">
        <v>55</v>
      </c>
      <c r="B7" s="37">
        <f>'PPTO Vtas Productos'!B5</f>
        <v>15000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38">
        <f t="shared" ref="O7:O14" si="0">SUM(C7:N7)</f>
        <v>12</v>
      </c>
    </row>
    <row r="8" spans="1:15" ht="19.95" customHeight="1" x14ac:dyDescent="0.3">
      <c r="A8" s="6" t="s">
        <v>56</v>
      </c>
      <c r="B8" s="37">
        <f>'PPTO Vtas Productos'!B6</f>
        <v>25000</v>
      </c>
      <c r="C8" s="6">
        <v>3</v>
      </c>
      <c r="D8" s="6">
        <v>3</v>
      </c>
      <c r="E8" s="6">
        <v>3</v>
      </c>
      <c r="F8" s="6">
        <v>3</v>
      </c>
      <c r="G8" s="6">
        <v>3</v>
      </c>
      <c r="H8" s="6">
        <v>3</v>
      </c>
      <c r="I8" s="6">
        <v>3</v>
      </c>
      <c r="J8" s="6">
        <v>3</v>
      </c>
      <c r="K8" s="6">
        <v>3</v>
      </c>
      <c r="L8" s="6">
        <v>3</v>
      </c>
      <c r="M8" s="6">
        <v>3</v>
      </c>
      <c r="N8" s="6">
        <v>3</v>
      </c>
      <c r="O8" s="38">
        <f t="shared" si="0"/>
        <v>36</v>
      </c>
    </row>
    <row r="9" spans="1:15" ht="19.95" customHeight="1" x14ac:dyDescent="0.3">
      <c r="A9" s="6" t="s">
        <v>57</v>
      </c>
      <c r="B9" s="37">
        <f>'PPTO Vtas Productos'!B7</f>
        <v>45000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8">
        <f t="shared" si="0"/>
        <v>0</v>
      </c>
    </row>
    <row r="10" spans="1:15" ht="19.95" customHeight="1" x14ac:dyDescent="0.3">
      <c r="A10" s="6" t="s">
        <v>58</v>
      </c>
      <c r="B10" s="37">
        <f>'PPTO Vtas Productos'!B8</f>
        <v>70000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8">
        <f t="shared" si="0"/>
        <v>0</v>
      </c>
    </row>
    <row r="11" spans="1:15" ht="19.95" customHeight="1" x14ac:dyDescent="0.3">
      <c r="A11" s="6" t="s">
        <v>59</v>
      </c>
      <c r="B11" s="37">
        <v>0</v>
      </c>
      <c r="C11" s="6">
        <v>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8">
        <f t="shared" si="0"/>
        <v>4</v>
      </c>
    </row>
    <row r="12" spans="1:15" ht="19.95" customHeight="1" x14ac:dyDescent="0.3">
      <c r="A12" s="6" t="s">
        <v>129</v>
      </c>
      <c r="B12" s="39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8">
        <f t="shared" si="0"/>
        <v>0</v>
      </c>
    </row>
    <row r="13" spans="1:15" ht="19.95" customHeight="1" x14ac:dyDescent="0.3">
      <c r="A13" s="6" t="s">
        <v>61</v>
      </c>
      <c r="B13" s="37">
        <v>0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38">
        <f t="shared" si="0"/>
        <v>12</v>
      </c>
    </row>
    <row r="14" spans="1:15" ht="19.95" customHeight="1" x14ac:dyDescent="0.3">
      <c r="A14" s="6" t="s">
        <v>130</v>
      </c>
      <c r="B14" s="39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8">
        <f t="shared" si="0"/>
        <v>0</v>
      </c>
    </row>
    <row r="15" spans="1:15" ht="19.95" customHeight="1" x14ac:dyDescent="0.3">
      <c r="A15" s="5" t="s">
        <v>131</v>
      </c>
      <c r="B15" s="5" t="s">
        <v>132</v>
      </c>
      <c r="C15" s="40" t="str">
        <f t="shared" ref="C15:N15" si="1">C4</f>
        <v>Mes 1</v>
      </c>
      <c r="D15" s="40" t="str">
        <f t="shared" si="1"/>
        <v>Mes 2</v>
      </c>
      <c r="E15" s="40" t="str">
        <f t="shared" si="1"/>
        <v>Mes 3</v>
      </c>
      <c r="F15" s="40" t="str">
        <f t="shared" si="1"/>
        <v>Mes 4</v>
      </c>
      <c r="G15" s="40" t="str">
        <f t="shared" si="1"/>
        <v>Mes 5</v>
      </c>
      <c r="H15" s="40" t="str">
        <f t="shared" si="1"/>
        <v>Mes 6</v>
      </c>
      <c r="I15" s="40" t="str">
        <f t="shared" si="1"/>
        <v>Mes 7</v>
      </c>
      <c r="J15" s="40" t="str">
        <f t="shared" si="1"/>
        <v>Mes 8</v>
      </c>
      <c r="K15" s="40" t="str">
        <f t="shared" si="1"/>
        <v>Mes 9</v>
      </c>
      <c r="L15" s="40" t="str">
        <f t="shared" si="1"/>
        <v>Mes 10</v>
      </c>
      <c r="M15" s="40" t="str">
        <f t="shared" si="1"/>
        <v>Mes 11</v>
      </c>
      <c r="N15" s="40" t="str">
        <f t="shared" si="1"/>
        <v>Mes 12</v>
      </c>
      <c r="O15" s="5" t="s">
        <v>126</v>
      </c>
    </row>
    <row r="16" spans="1:15" ht="19.95" customHeight="1" x14ac:dyDescent="0.3">
      <c r="A16" s="38" t="str">
        <f t="shared" ref="A16:B23" si="2">A7</f>
        <v>Starter mensual</v>
      </c>
      <c r="B16" s="41">
        <f t="shared" si="2"/>
        <v>15000</v>
      </c>
      <c r="C16" s="38">
        <f t="shared" ref="C16:N16" si="3">C7*$B16</f>
        <v>15000</v>
      </c>
      <c r="D16" s="38">
        <f t="shared" si="3"/>
        <v>15000</v>
      </c>
      <c r="E16" s="38">
        <f t="shared" si="3"/>
        <v>15000</v>
      </c>
      <c r="F16" s="38">
        <f t="shared" si="3"/>
        <v>15000</v>
      </c>
      <c r="G16" s="38">
        <f t="shared" si="3"/>
        <v>15000</v>
      </c>
      <c r="H16" s="38">
        <f t="shared" si="3"/>
        <v>15000</v>
      </c>
      <c r="I16" s="38">
        <f t="shared" si="3"/>
        <v>15000</v>
      </c>
      <c r="J16" s="38">
        <f t="shared" si="3"/>
        <v>15000</v>
      </c>
      <c r="K16" s="38">
        <f t="shared" si="3"/>
        <v>15000</v>
      </c>
      <c r="L16" s="38">
        <f t="shared" si="3"/>
        <v>15000</v>
      </c>
      <c r="M16" s="38">
        <f t="shared" si="3"/>
        <v>15000</v>
      </c>
      <c r="N16" s="38">
        <f t="shared" si="3"/>
        <v>15000</v>
      </c>
      <c r="O16" s="42">
        <f t="shared" ref="O16:O24" si="4">SUM(C16:N16)</f>
        <v>180000</v>
      </c>
    </row>
    <row r="17" spans="1:15" ht="19.95" customHeight="1" x14ac:dyDescent="0.3">
      <c r="A17" s="38" t="str">
        <f t="shared" si="2"/>
        <v>Pro Gym mensual</v>
      </c>
      <c r="B17" s="41">
        <f t="shared" si="2"/>
        <v>25000</v>
      </c>
      <c r="C17" s="38">
        <f t="shared" ref="C17:N17" si="5">C8*$B17</f>
        <v>75000</v>
      </c>
      <c r="D17" s="38">
        <f t="shared" si="5"/>
        <v>75000</v>
      </c>
      <c r="E17" s="38">
        <f t="shared" si="5"/>
        <v>75000</v>
      </c>
      <c r="F17" s="38">
        <f t="shared" si="5"/>
        <v>75000</v>
      </c>
      <c r="G17" s="38">
        <f t="shared" si="5"/>
        <v>75000</v>
      </c>
      <c r="H17" s="38">
        <f t="shared" si="5"/>
        <v>75000</v>
      </c>
      <c r="I17" s="38">
        <f t="shared" si="5"/>
        <v>75000</v>
      </c>
      <c r="J17" s="38">
        <f t="shared" si="5"/>
        <v>75000</v>
      </c>
      <c r="K17" s="38">
        <f t="shared" si="5"/>
        <v>75000</v>
      </c>
      <c r="L17" s="38">
        <f t="shared" si="5"/>
        <v>75000</v>
      </c>
      <c r="M17" s="38">
        <f t="shared" si="5"/>
        <v>75000</v>
      </c>
      <c r="N17" s="38">
        <f t="shared" si="5"/>
        <v>75000</v>
      </c>
      <c r="O17" s="41">
        <f t="shared" si="4"/>
        <v>900000</v>
      </c>
    </row>
    <row r="18" spans="1:15" ht="19.95" customHeight="1" x14ac:dyDescent="0.3">
      <c r="A18" s="38" t="str">
        <f t="shared" si="2"/>
        <v>Premium mensual dedicado</v>
      </c>
      <c r="B18" s="41">
        <f t="shared" si="2"/>
        <v>45000</v>
      </c>
      <c r="C18" s="38">
        <f t="shared" ref="C18:N18" si="6">C9*$B18</f>
        <v>0</v>
      </c>
      <c r="D18" s="38">
        <f t="shared" si="6"/>
        <v>0</v>
      </c>
      <c r="E18" s="38">
        <f t="shared" si="6"/>
        <v>0</v>
      </c>
      <c r="F18" s="38">
        <f t="shared" si="6"/>
        <v>0</v>
      </c>
      <c r="G18" s="38">
        <f t="shared" si="6"/>
        <v>0</v>
      </c>
      <c r="H18" s="38">
        <f t="shared" si="6"/>
        <v>0</v>
      </c>
      <c r="I18" s="38">
        <f t="shared" si="6"/>
        <v>0</v>
      </c>
      <c r="J18" s="38">
        <f t="shared" si="6"/>
        <v>0</v>
      </c>
      <c r="K18" s="38">
        <f t="shared" si="6"/>
        <v>0</v>
      </c>
      <c r="L18" s="38">
        <f t="shared" si="6"/>
        <v>0</v>
      </c>
      <c r="M18" s="38">
        <f t="shared" si="6"/>
        <v>0</v>
      </c>
      <c r="N18" s="38">
        <f t="shared" si="6"/>
        <v>0</v>
      </c>
      <c r="O18" s="41">
        <f t="shared" si="4"/>
        <v>0</v>
      </c>
    </row>
    <row r="19" spans="1:15" ht="19.95" customHeight="1" x14ac:dyDescent="0.3">
      <c r="A19" s="38" t="str">
        <f t="shared" si="2"/>
        <v>Enterprise mensual desde</v>
      </c>
      <c r="B19" s="41">
        <f t="shared" si="2"/>
        <v>70000</v>
      </c>
      <c r="C19" s="38">
        <f t="shared" ref="C19:N19" si="7">C10*$B19</f>
        <v>0</v>
      </c>
      <c r="D19" s="38">
        <f t="shared" si="7"/>
        <v>0</v>
      </c>
      <c r="E19" s="38">
        <f t="shared" si="7"/>
        <v>0</v>
      </c>
      <c r="F19" s="38">
        <f t="shared" si="7"/>
        <v>0</v>
      </c>
      <c r="G19" s="38">
        <f t="shared" si="7"/>
        <v>0</v>
      </c>
      <c r="H19" s="38">
        <f t="shared" si="7"/>
        <v>0</v>
      </c>
      <c r="I19" s="38">
        <f t="shared" si="7"/>
        <v>0</v>
      </c>
      <c r="J19" s="38">
        <f t="shared" si="7"/>
        <v>0</v>
      </c>
      <c r="K19" s="38">
        <f t="shared" si="7"/>
        <v>0</v>
      </c>
      <c r="L19" s="38">
        <f t="shared" si="7"/>
        <v>0</v>
      </c>
      <c r="M19" s="38">
        <f t="shared" si="7"/>
        <v>0</v>
      </c>
      <c r="N19" s="38">
        <f t="shared" si="7"/>
        <v>0</v>
      </c>
      <c r="O19" s="41">
        <f t="shared" si="4"/>
        <v>0</v>
      </c>
    </row>
    <row r="20" spans="1:15" ht="19.95" customHeight="1" x14ac:dyDescent="0.3">
      <c r="A20" s="38" t="str">
        <f t="shared" si="2"/>
        <v>Instalación básica</v>
      </c>
      <c r="B20" s="41">
        <f t="shared" si="2"/>
        <v>0</v>
      </c>
      <c r="C20" s="38">
        <f t="shared" ref="C20:N20" si="8">C11*$B20</f>
        <v>0</v>
      </c>
      <c r="D20" s="38">
        <f t="shared" si="8"/>
        <v>0</v>
      </c>
      <c r="E20" s="38">
        <f t="shared" si="8"/>
        <v>0</v>
      </c>
      <c r="F20" s="38">
        <f t="shared" si="8"/>
        <v>0</v>
      </c>
      <c r="G20" s="38">
        <f t="shared" si="8"/>
        <v>0</v>
      </c>
      <c r="H20" s="38">
        <f t="shared" si="8"/>
        <v>0</v>
      </c>
      <c r="I20" s="38">
        <f t="shared" si="8"/>
        <v>0</v>
      </c>
      <c r="J20" s="38">
        <f t="shared" si="8"/>
        <v>0</v>
      </c>
      <c r="K20" s="38">
        <f t="shared" si="8"/>
        <v>0</v>
      </c>
      <c r="L20" s="38">
        <f t="shared" si="8"/>
        <v>0</v>
      </c>
      <c r="M20" s="38">
        <f t="shared" si="8"/>
        <v>0</v>
      </c>
      <c r="N20" s="38">
        <f t="shared" si="8"/>
        <v>0</v>
      </c>
      <c r="O20" s="41">
        <f t="shared" si="4"/>
        <v>0</v>
      </c>
    </row>
    <row r="21" spans="1:15" ht="19.95" customHeight="1" x14ac:dyDescent="0.3">
      <c r="A21" s="38" t="str">
        <f t="shared" si="2"/>
        <v>Instalación Premium cotizada</v>
      </c>
      <c r="B21" s="41">
        <f t="shared" si="2"/>
        <v>0</v>
      </c>
      <c r="C21" s="38">
        <f t="shared" ref="C21:N21" si="9">C12*$B21</f>
        <v>0</v>
      </c>
      <c r="D21" s="38">
        <f t="shared" si="9"/>
        <v>0</v>
      </c>
      <c r="E21" s="38">
        <f t="shared" si="9"/>
        <v>0</v>
      </c>
      <c r="F21" s="38">
        <f t="shared" si="9"/>
        <v>0</v>
      </c>
      <c r="G21" s="38">
        <f t="shared" si="9"/>
        <v>0</v>
      </c>
      <c r="H21" s="38">
        <f t="shared" si="9"/>
        <v>0</v>
      </c>
      <c r="I21" s="38">
        <f t="shared" si="9"/>
        <v>0</v>
      </c>
      <c r="J21" s="38">
        <f t="shared" si="9"/>
        <v>0</v>
      </c>
      <c r="K21" s="38">
        <f t="shared" si="9"/>
        <v>0</v>
      </c>
      <c r="L21" s="38">
        <f t="shared" si="9"/>
        <v>0</v>
      </c>
      <c r="M21" s="38">
        <f t="shared" si="9"/>
        <v>0</v>
      </c>
      <c r="N21" s="38">
        <f t="shared" si="9"/>
        <v>0</v>
      </c>
      <c r="O21" s="41">
        <f t="shared" si="4"/>
        <v>0</v>
      </c>
    </row>
    <row r="22" spans="1:15" ht="19.95" customHeight="1" x14ac:dyDescent="0.3">
      <c r="A22" s="38" t="str">
        <f t="shared" si="2"/>
        <v>Operación fija plataforma</v>
      </c>
      <c r="B22" s="41">
        <f t="shared" si="2"/>
        <v>0</v>
      </c>
      <c r="C22" s="38">
        <f t="shared" ref="C22:N22" si="10">C13*$B22</f>
        <v>0</v>
      </c>
      <c r="D22" s="38">
        <f t="shared" si="10"/>
        <v>0</v>
      </c>
      <c r="E22" s="38">
        <f t="shared" si="10"/>
        <v>0</v>
      </c>
      <c r="F22" s="38">
        <f t="shared" si="10"/>
        <v>0</v>
      </c>
      <c r="G22" s="38">
        <f t="shared" si="10"/>
        <v>0</v>
      </c>
      <c r="H22" s="38">
        <f t="shared" si="10"/>
        <v>0</v>
      </c>
      <c r="I22" s="38">
        <f t="shared" si="10"/>
        <v>0</v>
      </c>
      <c r="J22" s="38">
        <f t="shared" si="10"/>
        <v>0</v>
      </c>
      <c r="K22" s="38">
        <f t="shared" si="10"/>
        <v>0</v>
      </c>
      <c r="L22" s="38">
        <f t="shared" si="10"/>
        <v>0</v>
      </c>
      <c r="M22" s="38">
        <f t="shared" si="10"/>
        <v>0</v>
      </c>
      <c r="N22" s="38">
        <f t="shared" si="10"/>
        <v>0</v>
      </c>
      <c r="O22" s="41">
        <f t="shared" si="4"/>
        <v>0</v>
      </c>
    </row>
    <row r="23" spans="1:15" ht="19.95" customHeight="1" x14ac:dyDescent="0.3">
      <c r="A23" s="38" t="str">
        <f t="shared" si="2"/>
        <v>Instalación Enterprise cotizada</v>
      </c>
      <c r="B23" s="41">
        <f t="shared" si="2"/>
        <v>0</v>
      </c>
      <c r="C23" s="38">
        <f t="shared" ref="C23:N23" si="11">C14*$B23</f>
        <v>0</v>
      </c>
      <c r="D23" s="38">
        <f t="shared" si="11"/>
        <v>0</v>
      </c>
      <c r="E23" s="38">
        <f t="shared" si="11"/>
        <v>0</v>
      </c>
      <c r="F23" s="38">
        <f t="shared" si="11"/>
        <v>0</v>
      </c>
      <c r="G23" s="38">
        <f t="shared" si="11"/>
        <v>0</v>
      </c>
      <c r="H23" s="38">
        <f t="shared" si="11"/>
        <v>0</v>
      </c>
      <c r="I23" s="38">
        <f t="shared" si="11"/>
        <v>0</v>
      </c>
      <c r="J23" s="38">
        <f t="shared" si="11"/>
        <v>0</v>
      </c>
      <c r="K23" s="38">
        <f t="shared" si="11"/>
        <v>0</v>
      </c>
      <c r="L23" s="38">
        <f t="shared" si="11"/>
        <v>0</v>
      </c>
      <c r="M23" s="38">
        <f t="shared" si="11"/>
        <v>0</v>
      </c>
      <c r="N23" s="38">
        <f t="shared" si="11"/>
        <v>0</v>
      </c>
      <c r="O23" s="41">
        <f t="shared" si="4"/>
        <v>0</v>
      </c>
    </row>
    <row r="24" spans="1:15" ht="19.95" customHeight="1" x14ac:dyDescent="0.3">
      <c r="A24" s="43" t="s">
        <v>133</v>
      </c>
      <c r="B24" s="44"/>
      <c r="C24" s="43">
        <f t="shared" ref="C24:N24" si="12">SUM(C16:C23)</f>
        <v>90000</v>
      </c>
      <c r="D24" s="43">
        <f t="shared" si="12"/>
        <v>90000</v>
      </c>
      <c r="E24" s="43">
        <f t="shared" si="12"/>
        <v>90000</v>
      </c>
      <c r="F24" s="43">
        <f t="shared" si="12"/>
        <v>90000</v>
      </c>
      <c r="G24" s="43">
        <f t="shared" si="12"/>
        <v>90000</v>
      </c>
      <c r="H24" s="43">
        <f t="shared" si="12"/>
        <v>90000</v>
      </c>
      <c r="I24" s="43">
        <f t="shared" si="12"/>
        <v>90000</v>
      </c>
      <c r="J24" s="43">
        <f t="shared" si="12"/>
        <v>90000</v>
      </c>
      <c r="K24" s="43">
        <f t="shared" si="12"/>
        <v>90000</v>
      </c>
      <c r="L24" s="43">
        <f t="shared" si="12"/>
        <v>90000</v>
      </c>
      <c r="M24" s="43">
        <f t="shared" si="12"/>
        <v>90000</v>
      </c>
      <c r="N24" s="43">
        <f t="shared" si="12"/>
        <v>90000</v>
      </c>
      <c r="O24" s="43">
        <f t="shared" si="4"/>
        <v>1080000</v>
      </c>
    </row>
    <row r="25" spans="1:15" ht="34.049999999999997" customHeight="1" x14ac:dyDescent="0.3">
      <c r="A25" s="43" t="s">
        <v>134</v>
      </c>
      <c r="B25" s="45"/>
      <c r="C25" s="46">
        <f t="shared" ref="C25:O25" si="13">C37</f>
        <v>240125</v>
      </c>
      <c r="D25" s="46">
        <f t="shared" si="13"/>
        <v>80125</v>
      </c>
      <c r="E25" s="46">
        <f t="shared" si="13"/>
        <v>80125</v>
      </c>
      <c r="F25" s="46">
        <f t="shared" si="13"/>
        <v>80125</v>
      </c>
      <c r="G25" s="46">
        <f t="shared" si="13"/>
        <v>80125</v>
      </c>
      <c r="H25" s="46">
        <f t="shared" si="13"/>
        <v>80125</v>
      </c>
      <c r="I25" s="46">
        <f t="shared" si="13"/>
        <v>80125</v>
      </c>
      <c r="J25" s="46">
        <f t="shared" si="13"/>
        <v>80125</v>
      </c>
      <c r="K25" s="46">
        <f t="shared" si="13"/>
        <v>80125</v>
      </c>
      <c r="L25" s="46">
        <f t="shared" si="13"/>
        <v>80125</v>
      </c>
      <c r="M25" s="46">
        <f t="shared" si="13"/>
        <v>80125</v>
      </c>
      <c r="N25" s="46">
        <f t="shared" si="13"/>
        <v>80125</v>
      </c>
      <c r="O25" s="46">
        <f t="shared" si="13"/>
        <v>1121500</v>
      </c>
    </row>
    <row r="26" spans="1:15" ht="19.95" customHeight="1" x14ac:dyDescent="0.3">
      <c r="A26" s="5" t="s">
        <v>135</v>
      </c>
      <c r="B26" s="35"/>
      <c r="C26" s="5">
        <f t="shared" ref="C26:O26" si="14">IF(OR(AND(C12&gt;0,$B$12&lt;=0),AND(C14&gt;0,$B$14&lt;=0)),"Cotizar instalaciones",C24-C37)</f>
        <v>-150125</v>
      </c>
      <c r="D26" s="5">
        <f t="shared" si="14"/>
        <v>9875</v>
      </c>
      <c r="E26" s="5">
        <f t="shared" si="14"/>
        <v>9875</v>
      </c>
      <c r="F26" s="5">
        <f t="shared" si="14"/>
        <v>9875</v>
      </c>
      <c r="G26" s="5">
        <f t="shared" si="14"/>
        <v>9875</v>
      </c>
      <c r="H26" s="5">
        <f t="shared" si="14"/>
        <v>9875</v>
      </c>
      <c r="I26" s="5">
        <f t="shared" si="14"/>
        <v>9875</v>
      </c>
      <c r="J26" s="5">
        <f t="shared" si="14"/>
        <v>9875</v>
      </c>
      <c r="K26" s="5">
        <f t="shared" si="14"/>
        <v>9875</v>
      </c>
      <c r="L26" s="5">
        <f t="shared" si="14"/>
        <v>9875</v>
      </c>
      <c r="M26" s="5">
        <f t="shared" si="14"/>
        <v>9875</v>
      </c>
      <c r="N26" s="5">
        <f t="shared" si="14"/>
        <v>9875</v>
      </c>
      <c r="O26" s="5">
        <f t="shared" si="14"/>
        <v>-41500</v>
      </c>
    </row>
    <row r="27" spans="1:15" ht="19.95" customHeight="1" x14ac:dyDescent="0.3">
      <c r="A27" s="47" t="s">
        <v>136</v>
      </c>
      <c r="B27" s="48"/>
      <c r="C27" s="49">
        <f t="shared" ref="C27:O27" si="15">IF(ISNUMBER(C26),IF(C24&gt;0,C26/C24,""),"Cotizar instalaciones")</f>
        <v>-1.6680555555555556</v>
      </c>
      <c r="D27" s="49">
        <f t="shared" si="15"/>
        <v>0.10972222222222222</v>
      </c>
      <c r="E27" s="49">
        <f t="shared" si="15"/>
        <v>0.10972222222222222</v>
      </c>
      <c r="F27" s="49">
        <f t="shared" si="15"/>
        <v>0.10972222222222222</v>
      </c>
      <c r="G27" s="49">
        <f t="shared" si="15"/>
        <v>0.10972222222222222</v>
      </c>
      <c r="H27" s="49">
        <f t="shared" si="15"/>
        <v>0.10972222222222222</v>
      </c>
      <c r="I27" s="49">
        <f t="shared" si="15"/>
        <v>0.10972222222222222</v>
      </c>
      <c r="J27" s="49">
        <f t="shared" si="15"/>
        <v>0.10972222222222222</v>
      </c>
      <c r="K27" s="49">
        <f t="shared" si="15"/>
        <v>0.10972222222222222</v>
      </c>
      <c r="L27" s="49">
        <f t="shared" si="15"/>
        <v>0.10972222222222222</v>
      </c>
      <c r="M27" s="49">
        <f t="shared" si="15"/>
        <v>0.10972222222222222</v>
      </c>
      <c r="N27" s="49">
        <f t="shared" si="15"/>
        <v>0.10972222222222222</v>
      </c>
      <c r="O27" s="49">
        <f t="shared" si="15"/>
        <v>-3.8425925925925926E-2</v>
      </c>
    </row>
    <row r="28" spans="1:15" ht="19.95" customHeight="1" x14ac:dyDescent="0.3">
      <c r="A28" s="50" t="s">
        <v>137</v>
      </c>
      <c r="B28" s="50" t="s">
        <v>138</v>
      </c>
      <c r="C28" s="51" t="str">
        <f t="shared" ref="C28:N28" si="16">C15</f>
        <v>Mes 1</v>
      </c>
      <c r="D28" s="51" t="str">
        <f t="shared" si="16"/>
        <v>Mes 2</v>
      </c>
      <c r="E28" s="51" t="str">
        <f t="shared" si="16"/>
        <v>Mes 3</v>
      </c>
      <c r="F28" s="51" t="str">
        <f t="shared" si="16"/>
        <v>Mes 4</v>
      </c>
      <c r="G28" s="51" t="str">
        <f t="shared" si="16"/>
        <v>Mes 5</v>
      </c>
      <c r="H28" s="51" t="str">
        <f t="shared" si="16"/>
        <v>Mes 6</v>
      </c>
      <c r="I28" s="51" t="str">
        <f t="shared" si="16"/>
        <v>Mes 7</v>
      </c>
      <c r="J28" s="51" t="str">
        <f t="shared" si="16"/>
        <v>Mes 8</v>
      </c>
      <c r="K28" s="51" t="str">
        <f t="shared" si="16"/>
        <v>Mes 9</v>
      </c>
      <c r="L28" s="51" t="str">
        <f t="shared" si="16"/>
        <v>Mes 10</v>
      </c>
      <c r="M28" s="51" t="str">
        <f t="shared" si="16"/>
        <v>Mes 11</v>
      </c>
      <c r="N28" s="51" t="str">
        <f t="shared" si="16"/>
        <v>Mes 12</v>
      </c>
      <c r="O28" s="50" t="s">
        <v>126</v>
      </c>
    </row>
    <row r="29" spans="1:15" ht="19.95" customHeight="1" x14ac:dyDescent="0.3">
      <c r="A29" s="38" t="str">
        <f t="shared" ref="A29:A36" si="17">A7</f>
        <v>Starter mensual</v>
      </c>
      <c r="B29" s="52">
        <f>Costeo!E15</f>
        <v>4750</v>
      </c>
      <c r="C29" s="38">
        <f t="shared" ref="C29:N29" si="18">$B29*C7</f>
        <v>4750</v>
      </c>
      <c r="D29" s="38">
        <f t="shared" si="18"/>
        <v>4750</v>
      </c>
      <c r="E29" s="38">
        <f t="shared" si="18"/>
        <v>4750</v>
      </c>
      <c r="F29" s="38">
        <f t="shared" si="18"/>
        <v>4750</v>
      </c>
      <c r="G29" s="38">
        <f t="shared" si="18"/>
        <v>4750</v>
      </c>
      <c r="H29" s="38">
        <f t="shared" si="18"/>
        <v>4750</v>
      </c>
      <c r="I29" s="38">
        <f t="shared" si="18"/>
        <v>4750</v>
      </c>
      <c r="J29" s="38">
        <f t="shared" si="18"/>
        <v>4750</v>
      </c>
      <c r="K29" s="38">
        <f t="shared" si="18"/>
        <v>4750</v>
      </c>
      <c r="L29" s="38">
        <f t="shared" si="18"/>
        <v>4750</v>
      </c>
      <c r="M29" s="38">
        <f t="shared" si="18"/>
        <v>4750</v>
      </c>
      <c r="N29" s="38">
        <f t="shared" si="18"/>
        <v>4750</v>
      </c>
      <c r="O29" s="32">
        <f t="shared" ref="O29:O37" si="19">SUM(C29:N29)</f>
        <v>57000</v>
      </c>
    </row>
    <row r="30" spans="1:15" ht="19.95" customHeight="1" x14ac:dyDescent="0.3">
      <c r="A30" s="38" t="str">
        <f t="shared" si="17"/>
        <v>Pro Gym mensual</v>
      </c>
      <c r="B30" s="52">
        <f>Costeo!E30</f>
        <v>4750</v>
      </c>
      <c r="C30" s="38">
        <f t="shared" ref="C30:N30" si="20">$B30*C8</f>
        <v>14250</v>
      </c>
      <c r="D30" s="38">
        <f t="shared" si="20"/>
        <v>14250</v>
      </c>
      <c r="E30" s="38">
        <f t="shared" si="20"/>
        <v>14250</v>
      </c>
      <c r="F30" s="38">
        <f t="shared" si="20"/>
        <v>14250</v>
      </c>
      <c r="G30" s="38">
        <f t="shared" si="20"/>
        <v>14250</v>
      </c>
      <c r="H30" s="38">
        <f t="shared" si="20"/>
        <v>14250</v>
      </c>
      <c r="I30" s="38">
        <f t="shared" si="20"/>
        <v>14250</v>
      </c>
      <c r="J30" s="38">
        <f t="shared" si="20"/>
        <v>14250</v>
      </c>
      <c r="K30" s="38">
        <f t="shared" si="20"/>
        <v>14250</v>
      </c>
      <c r="L30" s="38">
        <f t="shared" si="20"/>
        <v>14250</v>
      </c>
      <c r="M30" s="38">
        <f t="shared" si="20"/>
        <v>14250</v>
      </c>
      <c r="N30" s="38">
        <f t="shared" si="20"/>
        <v>14250</v>
      </c>
      <c r="O30" s="41">
        <f t="shared" si="19"/>
        <v>171000</v>
      </c>
    </row>
    <row r="31" spans="1:15" ht="19.95" customHeight="1" x14ac:dyDescent="0.3">
      <c r="A31" s="38" t="str">
        <f t="shared" si="17"/>
        <v>Premium mensual dedicado</v>
      </c>
      <c r="B31" s="52">
        <f>Costeo!E47</f>
        <v>17250</v>
      </c>
      <c r="C31" s="38">
        <f t="shared" ref="C31:N31" si="21">$B31*C9</f>
        <v>0</v>
      </c>
      <c r="D31" s="38">
        <f t="shared" si="21"/>
        <v>0</v>
      </c>
      <c r="E31" s="38">
        <f t="shared" si="21"/>
        <v>0</v>
      </c>
      <c r="F31" s="38">
        <f t="shared" si="21"/>
        <v>0</v>
      </c>
      <c r="G31" s="38">
        <f t="shared" si="21"/>
        <v>0</v>
      </c>
      <c r="H31" s="38">
        <f t="shared" si="21"/>
        <v>0</v>
      </c>
      <c r="I31" s="38">
        <f t="shared" si="21"/>
        <v>0</v>
      </c>
      <c r="J31" s="38">
        <f t="shared" si="21"/>
        <v>0</v>
      </c>
      <c r="K31" s="38">
        <f t="shared" si="21"/>
        <v>0</v>
      </c>
      <c r="L31" s="38">
        <f t="shared" si="21"/>
        <v>0</v>
      </c>
      <c r="M31" s="38">
        <f t="shared" si="21"/>
        <v>0</v>
      </c>
      <c r="N31" s="38">
        <f t="shared" si="21"/>
        <v>0</v>
      </c>
      <c r="O31" s="41">
        <f t="shared" si="19"/>
        <v>0</v>
      </c>
    </row>
    <row r="32" spans="1:15" ht="19.95" customHeight="1" x14ac:dyDescent="0.3">
      <c r="A32" s="38" t="str">
        <f t="shared" si="17"/>
        <v>Enterprise mensual desde</v>
      </c>
      <c r="B32" s="52">
        <f>Costeo!E64</f>
        <v>17250</v>
      </c>
      <c r="C32" s="38">
        <f t="shared" ref="C32:N32" si="22">$B32*C10</f>
        <v>0</v>
      </c>
      <c r="D32" s="38">
        <f t="shared" si="22"/>
        <v>0</v>
      </c>
      <c r="E32" s="38">
        <f t="shared" si="22"/>
        <v>0</v>
      </c>
      <c r="F32" s="38">
        <f t="shared" si="22"/>
        <v>0</v>
      </c>
      <c r="G32" s="38">
        <f t="shared" si="22"/>
        <v>0</v>
      </c>
      <c r="H32" s="38">
        <f t="shared" si="22"/>
        <v>0</v>
      </c>
      <c r="I32" s="38">
        <f t="shared" si="22"/>
        <v>0</v>
      </c>
      <c r="J32" s="38">
        <f t="shared" si="22"/>
        <v>0</v>
      </c>
      <c r="K32" s="38">
        <f t="shared" si="22"/>
        <v>0</v>
      </c>
      <c r="L32" s="38">
        <f t="shared" si="22"/>
        <v>0</v>
      </c>
      <c r="M32" s="38">
        <f t="shared" si="22"/>
        <v>0</v>
      </c>
      <c r="N32" s="38">
        <f t="shared" si="22"/>
        <v>0</v>
      </c>
      <c r="O32" s="41">
        <f t="shared" si="19"/>
        <v>0</v>
      </c>
    </row>
    <row r="33" spans="1:15" ht="19.95" customHeight="1" x14ac:dyDescent="0.3">
      <c r="A33" s="38" t="str">
        <f t="shared" si="17"/>
        <v>Instalación básica</v>
      </c>
      <c r="B33" s="52">
        <f>Costeo!E77</f>
        <v>40000</v>
      </c>
      <c r="C33" s="38">
        <f t="shared" ref="C33:N33" si="23">$B33*C11</f>
        <v>160000</v>
      </c>
      <c r="D33" s="38">
        <f t="shared" si="23"/>
        <v>0</v>
      </c>
      <c r="E33" s="38">
        <f t="shared" si="23"/>
        <v>0</v>
      </c>
      <c r="F33" s="38">
        <f t="shared" si="23"/>
        <v>0</v>
      </c>
      <c r="G33" s="38">
        <f t="shared" si="23"/>
        <v>0</v>
      </c>
      <c r="H33" s="38">
        <f t="shared" si="23"/>
        <v>0</v>
      </c>
      <c r="I33" s="38">
        <f t="shared" si="23"/>
        <v>0</v>
      </c>
      <c r="J33" s="38">
        <f t="shared" si="23"/>
        <v>0</v>
      </c>
      <c r="K33" s="38">
        <f t="shared" si="23"/>
        <v>0</v>
      </c>
      <c r="L33" s="38">
        <f t="shared" si="23"/>
        <v>0</v>
      </c>
      <c r="M33" s="38">
        <f t="shared" si="23"/>
        <v>0</v>
      </c>
      <c r="N33" s="38">
        <f t="shared" si="23"/>
        <v>0</v>
      </c>
      <c r="O33" s="41">
        <f t="shared" si="19"/>
        <v>160000</v>
      </c>
    </row>
    <row r="34" spans="1:15" ht="19.95" customHeight="1" x14ac:dyDescent="0.3">
      <c r="A34" s="38" t="str">
        <f t="shared" si="17"/>
        <v>Instalación Premium cotizada</v>
      </c>
      <c r="B34" s="52">
        <f>Costeo!E89</f>
        <v>90000</v>
      </c>
      <c r="C34" s="38">
        <f t="shared" ref="C34:N34" si="24">$B34*C12</f>
        <v>0</v>
      </c>
      <c r="D34" s="38">
        <f t="shared" si="24"/>
        <v>0</v>
      </c>
      <c r="E34" s="38">
        <f t="shared" si="24"/>
        <v>0</v>
      </c>
      <c r="F34" s="38">
        <f t="shared" si="24"/>
        <v>0</v>
      </c>
      <c r="G34" s="38">
        <f t="shared" si="24"/>
        <v>0</v>
      </c>
      <c r="H34" s="38">
        <f t="shared" si="24"/>
        <v>0</v>
      </c>
      <c r="I34" s="38">
        <f t="shared" si="24"/>
        <v>0</v>
      </c>
      <c r="J34" s="38">
        <f t="shared" si="24"/>
        <v>0</v>
      </c>
      <c r="K34" s="38">
        <f t="shared" si="24"/>
        <v>0</v>
      </c>
      <c r="L34" s="38">
        <f t="shared" si="24"/>
        <v>0</v>
      </c>
      <c r="M34" s="38">
        <f t="shared" si="24"/>
        <v>0</v>
      </c>
      <c r="N34" s="38">
        <f t="shared" si="24"/>
        <v>0</v>
      </c>
      <c r="O34" s="41">
        <f t="shared" si="19"/>
        <v>0</v>
      </c>
    </row>
    <row r="35" spans="1:15" ht="19.95" customHeight="1" x14ac:dyDescent="0.3">
      <c r="A35" s="38" t="str">
        <f t="shared" si="17"/>
        <v>Operación fija plataforma</v>
      </c>
      <c r="B35" s="52">
        <f>Costeo!E107</f>
        <v>61125</v>
      </c>
      <c r="C35" s="38">
        <f t="shared" ref="C35:N35" si="25">$B35*C13</f>
        <v>61125</v>
      </c>
      <c r="D35" s="38">
        <f t="shared" si="25"/>
        <v>61125</v>
      </c>
      <c r="E35" s="38">
        <f t="shared" si="25"/>
        <v>61125</v>
      </c>
      <c r="F35" s="38">
        <f t="shared" si="25"/>
        <v>61125</v>
      </c>
      <c r="G35" s="38">
        <f t="shared" si="25"/>
        <v>61125</v>
      </c>
      <c r="H35" s="38">
        <f t="shared" si="25"/>
        <v>61125</v>
      </c>
      <c r="I35" s="38">
        <f t="shared" si="25"/>
        <v>61125</v>
      </c>
      <c r="J35" s="38">
        <f t="shared" si="25"/>
        <v>61125</v>
      </c>
      <c r="K35" s="38">
        <f t="shared" si="25"/>
        <v>61125</v>
      </c>
      <c r="L35" s="38">
        <f t="shared" si="25"/>
        <v>61125</v>
      </c>
      <c r="M35" s="38">
        <f t="shared" si="25"/>
        <v>61125</v>
      </c>
      <c r="N35" s="38">
        <f t="shared" si="25"/>
        <v>61125</v>
      </c>
      <c r="O35" s="41">
        <f t="shared" si="19"/>
        <v>733500</v>
      </c>
    </row>
    <row r="36" spans="1:15" ht="19.95" customHeight="1" x14ac:dyDescent="0.3">
      <c r="A36" s="38" t="str">
        <f t="shared" si="17"/>
        <v>Instalación Enterprise cotizada</v>
      </c>
      <c r="B36" s="52">
        <f>Costeo!E117</f>
        <v>90000</v>
      </c>
      <c r="C36" s="38">
        <f t="shared" ref="C36:N36" si="26">$B36*C14</f>
        <v>0</v>
      </c>
      <c r="D36" s="38">
        <f t="shared" si="26"/>
        <v>0</v>
      </c>
      <c r="E36" s="38">
        <f t="shared" si="26"/>
        <v>0</v>
      </c>
      <c r="F36" s="38">
        <f t="shared" si="26"/>
        <v>0</v>
      </c>
      <c r="G36" s="38">
        <f t="shared" si="26"/>
        <v>0</v>
      </c>
      <c r="H36" s="38">
        <f t="shared" si="26"/>
        <v>0</v>
      </c>
      <c r="I36" s="38">
        <f t="shared" si="26"/>
        <v>0</v>
      </c>
      <c r="J36" s="38">
        <f t="shared" si="26"/>
        <v>0</v>
      </c>
      <c r="K36" s="38">
        <f t="shared" si="26"/>
        <v>0</v>
      </c>
      <c r="L36" s="38">
        <f t="shared" si="26"/>
        <v>0</v>
      </c>
      <c r="M36" s="38">
        <f t="shared" si="26"/>
        <v>0</v>
      </c>
      <c r="N36" s="38">
        <f t="shared" si="26"/>
        <v>0</v>
      </c>
      <c r="O36" s="41">
        <f t="shared" si="19"/>
        <v>0</v>
      </c>
    </row>
    <row r="37" spans="1:15" ht="19.95" customHeight="1" x14ac:dyDescent="0.3">
      <c r="A37" s="43" t="s">
        <v>139</v>
      </c>
      <c r="B37" s="43">
        <f t="shared" ref="B37:N37" si="27">SUM(B29:B36)</f>
        <v>325125</v>
      </c>
      <c r="C37" s="43">
        <f t="shared" si="27"/>
        <v>240125</v>
      </c>
      <c r="D37" s="43">
        <f t="shared" si="27"/>
        <v>80125</v>
      </c>
      <c r="E37" s="43">
        <f t="shared" si="27"/>
        <v>80125</v>
      </c>
      <c r="F37" s="43">
        <f t="shared" si="27"/>
        <v>80125</v>
      </c>
      <c r="G37" s="43">
        <f t="shared" si="27"/>
        <v>80125</v>
      </c>
      <c r="H37" s="43">
        <f t="shared" si="27"/>
        <v>80125</v>
      </c>
      <c r="I37" s="43">
        <f t="shared" si="27"/>
        <v>80125</v>
      </c>
      <c r="J37" s="43">
        <f t="shared" si="27"/>
        <v>80125</v>
      </c>
      <c r="K37" s="43">
        <f t="shared" si="27"/>
        <v>80125</v>
      </c>
      <c r="L37" s="43">
        <f t="shared" si="27"/>
        <v>80125</v>
      </c>
      <c r="M37" s="43">
        <f t="shared" si="27"/>
        <v>80125</v>
      </c>
      <c r="N37" s="43">
        <f t="shared" si="27"/>
        <v>80125</v>
      </c>
      <c r="O37" s="43">
        <f t="shared" si="19"/>
        <v>1121500</v>
      </c>
    </row>
  </sheetData>
  <pageMargins left="0.75" right="0.75" top="1" bottom="1" header="0.5" footer="0.5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showGridLines="0" workbookViewId="0">
      <selection activeCell="B4" sqref="B4:L5"/>
    </sheetView>
  </sheetViews>
  <sheetFormatPr baseColWidth="10" defaultColWidth="8.88671875" defaultRowHeight="14.4" x14ac:dyDescent="0.3"/>
  <cols>
    <col min="1" max="1" width="32.33203125" customWidth="1"/>
    <col min="2" max="2" width="19.44140625" customWidth="1"/>
    <col min="3" max="3" width="13.44140625" customWidth="1"/>
    <col min="4" max="4" width="11.5546875" customWidth="1"/>
    <col min="5" max="6" width="13" customWidth="1"/>
    <col min="7" max="8" width="13.33203125" customWidth="1"/>
    <col min="9" max="9" width="12" customWidth="1"/>
    <col min="10" max="10" width="12.6640625" customWidth="1"/>
    <col min="11" max="11" width="13" customWidth="1"/>
    <col min="12" max="12" width="12.88671875" customWidth="1"/>
    <col min="13" max="13" width="13" customWidth="1"/>
  </cols>
  <sheetData>
    <row r="1" spans="1:13" ht="22.05" customHeight="1" x14ac:dyDescent="0.3">
      <c r="A1" s="5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9.95" customHeight="1" x14ac:dyDescent="0.3">
      <c r="A2" s="1" t="str">
        <f>'PPTO Vtas Productos'!A2</f>
        <v>PULSO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31.95" customHeight="1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34.049999999999997" customHeight="1" x14ac:dyDescent="0.3">
      <c r="A4" s="54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ht="48" customHeight="1" x14ac:dyDescent="0.3">
      <c r="A5" s="38" t="s">
        <v>3</v>
      </c>
      <c r="B5" s="56" t="s">
        <v>4</v>
      </c>
      <c r="C5" s="57"/>
      <c r="D5" s="58" t="s">
        <v>5</v>
      </c>
      <c r="E5" s="59" t="str">
        <f>IF('PPTO Vtas Servicios'!B12&gt;0,'PPTO Vtas Servicios'!B12,"Por cotizar")</f>
        <v>Por cotizar</v>
      </c>
      <c r="F5" s="60"/>
      <c r="G5" s="61"/>
      <c r="H5" s="57"/>
      <c r="I5" s="62"/>
      <c r="J5" s="61"/>
      <c r="K5" s="57"/>
      <c r="L5" s="57"/>
      <c r="M5" s="63"/>
    </row>
    <row r="6" spans="1:13" ht="48" customHeight="1" x14ac:dyDescent="0.3">
      <c r="A6" s="38" t="s">
        <v>6</v>
      </c>
      <c r="B6" s="56" t="s">
        <v>7</v>
      </c>
      <c r="C6" s="57"/>
      <c r="D6" s="58" t="s">
        <v>8</v>
      </c>
      <c r="E6" s="59" t="str">
        <f>IF('PPTO Vtas Servicios'!B14&gt;0,'PPTO Vtas Servicios'!B14,"Por cotizar")</f>
        <v>Por cotizar</v>
      </c>
      <c r="F6" s="60"/>
      <c r="G6" s="61"/>
      <c r="H6" s="57"/>
      <c r="I6" s="62"/>
      <c r="J6" s="61"/>
      <c r="K6" s="57"/>
      <c r="L6" s="57"/>
      <c r="M6" s="63"/>
    </row>
    <row r="7" spans="1:13" ht="48" customHeight="1" x14ac:dyDescent="0.3">
      <c r="A7" s="38" t="s">
        <v>9</v>
      </c>
      <c r="B7" s="56" t="s">
        <v>10</v>
      </c>
      <c r="C7" s="57"/>
      <c r="D7" s="58" t="s">
        <v>11</v>
      </c>
      <c r="E7" s="59">
        <f>Costeo!E89</f>
        <v>90000</v>
      </c>
      <c r="F7" s="60"/>
      <c r="G7" s="61"/>
      <c r="H7" s="57"/>
      <c r="I7" s="62"/>
      <c r="J7" s="61"/>
      <c r="K7" s="57"/>
      <c r="L7" s="57"/>
      <c r="M7" s="63"/>
    </row>
    <row r="8" spans="1:13" ht="48" customHeight="1" x14ac:dyDescent="0.3">
      <c r="A8" s="38" t="s">
        <v>12</v>
      </c>
      <c r="B8" s="56" t="s">
        <v>13</v>
      </c>
      <c r="C8" s="57"/>
      <c r="D8" s="58"/>
      <c r="E8" s="64"/>
      <c r="F8" s="60"/>
      <c r="G8" s="61"/>
      <c r="H8" s="57"/>
      <c r="I8" s="62"/>
      <c r="J8" s="61"/>
      <c r="K8" s="57"/>
      <c r="L8" s="57"/>
      <c r="M8" s="63"/>
    </row>
    <row r="9" spans="1:13" ht="45" customHeight="1" x14ac:dyDescent="0.3">
      <c r="A9" s="38" t="s">
        <v>14</v>
      </c>
      <c r="B9" s="56" t="s">
        <v>15</v>
      </c>
      <c r="C9" s="57"/>
      <c r="D9" s="58"/>
      <c r="E9" s="64"/>
      <c r="F9" s="60"/>
      <c r="G9" s="61"/>
      <c r="H9" s="57"/>
      <c r="I9" s="62"/>
      <c r="J9" s="61"/>
      <c r="K9" s="57"/>
      <c r="L9" s="57"/>
      <c r="M9" s="63"/>
    </row>
    <row r="10" spans="1:13" ht="45" customHeight="1" x14ac:dyDescent="0.3">
      <c r="A10" s="38" t="s">
        <v>16</v>
      </c>
      <c r="B10" s="56" t="s">
        <v>17</v>
      </c>
      <c r="C10" s="57"/>
      <c r="D10" s="58"/>
      <c r="E10" s="64"/>
      <c r="F10" s="60"/>
      <c r="G10" s="61"/>
      <c r="H10" s="57"/>
      <c r="I10" s="62"/>
      <c r="J10" s="61"/>
      <c r="K10" s="57"/>
      <c r="L10" s="57"/>
      <c r="M10" s="63"/>
    </row>
    <row r="11" spans="1:13" ht="45" customHeight="1" x14ac:dyDescent="0.3">
      <c r="A11" s="38" t="s">
        <v>18</v>
      </c>
      <c r="B11" s="65">
        <f>SUM('PPTO Vtas Servicios'!C11:N11)</f>
        <v>4</v>
      </c>
      <c r="C11" s="57"/>
      <c r="D11" s="58"/>
      <c r="E11" s="64"/>
      <c r="F11" s="60"/>
      <c r="G11" s="61"/>
      <c r="H11" s="57"/>
      <c r="I11" s="62"/>
      <c r="J11" s="61"/>
      <c r="K11" s="57"/>
      <c r="L11" s="57"/>
      <c r="M11" s="63"/>
    </row>
    <row r="12" spans="1:13" ht="45" customHeight="1" x14ac:dyDescent="0.3">
      <c r="A12" s="38" t="s">
        <v>19</v>
      </c>
      <c r="B12" s="58">
        <f>IF(B11&gt;0,B26/B11,"")</f>
        <v>40000</v>
      </c>
      <c r="C12" s="57"/>
      <c r="D12" s="58"/>
      <c r="E12" s="64"/>
      <c r="F12" s="60"/>
      <c r="G12" s="61"/>
      <c r="H12" s="57"/>
      <c r="I12" s="62"/>
      <c r="J12" s="61"/>
      <c r="K12" s="57"/>
      <c r="L12" s="57"/>
      <c r="M12" s="63"/>
    </row>
    <row r="13" spans="1:13" ht="45" customHeight="1" x14ac:dyDescent="0.3">
      <c r="A13" s="38" t="s">
        <v>20</v>
      </c>
      <c r="B13" s="66">
        <f>IF(B20&gt;0,B25/B20,"")</f>
        <v>2468.75</v>
      </c>
      <c r="C13" s="57"/>
      <c r="D13" s="58"/>
      <c r="E13" s="64"/>
      <c r="F13" s="60"/>
      <c r="G13" s="61"/>
      <c r="H13" s="57"/>
      <c r="I13" s="62"/>
      <c r="J13" s="61"/>
      <c r="K13" s="57"/>
      <c r="L13" s="57"/>
      <c r="M13" s="63"/>
    </row>
    <row r="14" spans="1:13" ht="45" customHeight="1" x14ac:dyDescent="0.3">
      <c r="A14" s="38" t="s">
        <v>21</v>
      </c>
      <c r="B14" s="65">
        <f>B29</f>
        <v>17</v>
      </c>
      <c r="C14" s="57"/>
      <c r="D14" s="58"/>
      <c r="E14" s="64"/>
      <c r="F14" s="60"/>
      <c r="G14" s="61"/>
      <c r="H14" s="57"/>
      <c r="I14" s="62"/>
      <c r="J14" s="61"/>
      <c r="K14" s="57"/>
      <c r="L14" s="57"/>
      <c r="M14" s="63"/>
    </row>
    <row r="15" spans="1:13" ht="48" customHeight="1" x14ac:dyDescent="0.3">
      <c r="A15" s="54" t="s">
        <v>22</v>
      </c>
      <c r="B15" s="67" t="s">
        <v>23</v>
      </c>
      <c r="C15" s="67" t="s">
        <v>24</v>
      </c>
      <c r="D15" s="67" t="s">
        <v>25</v>
      </c>
      <c r="E15" s="67" t="s">
        <v>26</v>
      </c>
      <c r="F15" s="67" t="s">
        <v>27</v>
      </c>
      <c r="G15" s="67" t="s">
        <v>28</v>
      </c>
      <c r="H15" s="67" t="s">
        <v>29</v>
      </c>
      <c r="I15" s="67" t="s">
        <v>30</v>
      </c>
      <c r="J15" s="67" t="s">
        <v>31</v>
      </c>
      <c r="K15" s="67" t="s">
        <v>32</v>
      </c>
      <c r="L15" s="67" t="s">
        <v>33</v>
      </c>
      <c r="M15" s="67" t="s">
        <v>34</v>
      </c>
    </row>
    <row r="16" spans="1:13" ht="19.95" customHeight="1" x14ac:dyDescent="0.3">
      <c r="A16" s="38" t="str">
        <f>'PPTO Vtas Servicios'!A7</f>
        <v>Starter mensual</v>
      </c>
      <c r="B16" s="58">
        <f>'PPTO Vtas Servicios'!B29</f>
        <v>4750</v>
      </c>
      <c r="C16" s="58">
        <f>'PPTO Vtas Servicios'!B7</f>
        <v>15000</v>
      </c>
      <c r="D16" s="58">
        <f>C16-B16</f>
        <v>10250</v>
      </c>
      <c r="E16" s="64">
        <f>IF(C16&gt;0,D16/C16,"")</f>
        <v>0.68333333333333335</v>
      </c>
      <c r="F16" s="68">
        <f>Costeo!$E$107</f>
        <v>61125</v>
      </c>
      <c r="G16" s="65">
        <f>IF(D16&gt;0,ROUNDUP(F16/D16,0),"")</f>
        <v>6</v>
      </c>
      <c r="H16" s="58">
        <f>Costeo!E77</f>
        <v>40000</v>
      </c>
      <c r="I16" s="69">
        <f>IF(D16&gt;0,ROUNDUP(H16/D16,0),"")</f>
        <v>4</v>
      </c>
      <c r="J16" s="65">
        <f>'PPTO Vtas Servicios'!C7</f>
        <v>1</v>
      </c>
      <c r="K16" s="58">
        <f>D16*J16</f>
        <v>10250</v>
      </c>
      <c r="L16" s="58">
        <f>H16*J16</f>
        <v>40000</v>
      </c>
      <c r="M16" s="64">
        <f>IF(SUM($J$16:$J$19)&gt;0,J16/SUM($J$16:$J$19),"")</f>
        <v>0.25</v>
      </c>
    </row>
    <row r="17" spans="1:13" ht="19.95" customHeight="1" x14ac:dyDescent="0.3">
      <c r="A17" s="38" t="str">
        <f>'PPTO Vtas Servicios'!A8</f>
        <v>Pro Gym mensual</v>
      </c>
      <c r="B17" s="58">
        <f>'PPTO Vtas Servicios'!B30</f>
        <v>4750</v>
      </c>
      <c r="C17" s="58">
        <f>'PPTO Vtas Servicios'!B8</f>
        <v>25000</v>
      </c>
      <c r="D17" s="58">
        <f>C17-B17</f>
        <v>20250</v>
      </c>
      <c r="E17" s="64">
        <f>IF(C17&gt;0,D17/C17,"")</f>
        <v>0.81</v>
      </c>
      <c r="F17" s="68">
        <f>Costeo!$E$107</f>
        <v>61125</v>
      </c>
      <c r="G17" s="65">
        <f>IF(D17&gt;0,ROUNDUP(F17/D17,0),"")</f>
        <v>4</v>
      </c>
      <c r="H17" s="58">
        <f>Costeo!E77</f>
        <v>40000</v>
      </c>
      <c r="I17" s="69">
        <f>IF(D17&gt;0,ROUNDUP(H17/D17,0),"")</f>
        <v>2</v>
      </c>
      <c r="J17" s="65">
        <f>'PPTO Vtas Servicios'!C8</f>
        <v>3</v>
      </c>
      <c r="K17" s="58">
        <f>D17*J17</f>
        <v>60750</v>
      </c>
      <c r="L17" s="58">
        <f>H17*J17</f>
        <v>120000</v>
      </c>
      <c r="M17" s="64">
        <f>IF(SUM($J$16:$J$19)&gt;0,J17/SUM($J$16:$J$19),"")</f>
        <v>0.75</v>
      </c>
    </row>
    <row r="18" spans="1:13" ht="34.049999999999997" customHeight="1" x14ac:dyDescent="0.3">
      <c r="A18" s="38" t="str">
        <f>'PPTO Vtas Servicios'!A9</f>
        <v>Premium mensual dedicado</v>
      </c>
      <c r="B18" s="58">
        <f>'PPTO Vtas Servicios'!B31</f>
        <v>17250</v>
      </c>
      <c r="C18" s="58">
        <f>'PPTO Vtas Servicios'!B9</f>
        <v>45000</v>
      </c>
      <c r="D18" s="58">
        <f>C18-B18</f>
        <v>27750</v>
      </c>
      <c r="E18" s="64">
        <f>IF(C18&gt;0,D18/C18,"")</f>
        <v>0.6166666666666667</v>
      </c>
      <c r="F18" s="68">
        <f>Costeo!$E$107</f>
        <v>61125</v>
      </c>
      <c r="G18" s="65">
        <f>IF(D18&gt;0,ROUNDUP(F18/D18,0),"")</f>
        <v>3</v>
      </c>
      <c r="H18" s="58">
        <f>Costeo!E89</f>
        <v>90000</v>
      </c>
      <c r="I18" s="69" t="str">
        <f>"Cobro aparte"</f>
        <v>Cobro aparte</v>
      </c>
      <c r="J18" s="65">
        <f>'PPTO Vtas Servicios'!C9</f>
        <v>0</v>
      </c>
      <c r="K18" s="58">
        <f>D18*J18</f>
        <v>0</v>
      </c>
      <c r="L18" s="58">
        <v>0</v>
      </c>
      <c r="M18" s="64">
        <f>IF(SUM($J$16:$J$19)&gt;0,J18/SUM($J$16:$J$19),"")</f>
        <v>0</v>
      </c>
    </row>
    <row r="19" spans="1:13" ht="34.049999999999997" customHeight="1" x14ac:dyDescent="0.3">
      <c r="A19" s="38" t="str">
        <f>'PPTO Vtas Servicios'!A10</f>
        <v>Enterprise mensual desde</v>
      </c>
      <c r="B19" s="58">
        <f>'PPTO Vtas Servicios'!B32</f>
        <v>17250</v>
      </c>
      <c r="C19" s="58">
        <f>'PPTO Vtas Servicios'!B10</f>
        <v>70000</v>
      </c>
      <c r="D19" s="58">
        <f>C19-B19</f>
        <v>52750</v>
      </c>
      <c r="E19" s="64">
        <f>IF(C19&gt;0,D19/C19,"")</f>
        <v>0.75357142857142856</v>
      </c>
      <c r="F19" s="68">
        <f>Costeo!$E$107</f>
        <v>61125</v>
      </c>
      <c r="G19" s="65">
        <f>IF(D19&gt;0,ROUNDUP(F19/D19,0),"")</f>
        <v>2</v>
      </c>
      <c r="H19" s="58">
        <f>Costeo!E117</f>
        <v>90000</v>
      </c>
      <c r="I19" s="69" t="str">
        <f>"Cobro aparte"</f>
        <v>Cobro aparte</v>
      </c>
      <c r="J19" s="65">
        <f>'PPTO Vtas Servicios'!C10</f>
        <v>0</v>
      </c>
      <c r="K19" s="58">
        <f>D19*J19</f>
        <v>0</v>
      </c>
      <c r="L19" s="58">
        <v>0</v>
      </c>
      <c r="M19" s="64">
        <f>IF(SUM($J$16:$J$19)&gt;0,J19/SUM($J$16:$J$19),"")</f>
        <v>0</v>
      </c>
    </row>
    <row r="20" spans="1:13" ht="19.95" customHeight="1" x14ac:dyDescent="0.3">
      <c r="A20" s="38" t="s">
        <v>35</v>
      </c>
      <c r="B20" s="65">
        <f>SUM(J16:J19)</f>
        <v>4</v>
      </c>
      <c r="C20" s="38"/>
      <c r="D20" s="70"/>
      <c r="E20" s="71"/>
      <c r="F20" s="72"/>
      <c r="G20" s="70"/>
      <c r="H20" s="70"/>
      <c r="I20" s="72"/>
      <c r="J20" s="70"/>
      <c r="K20" s="70"/>
      <c r="L20" s="70"/>
      <c r="M20" s="71"/>
    </row>
    <row r="21" spans="1:13" ht="19.95" customHeight="1" x14ac:dyDescent="0.3">
      <c r="A21" s="38" t="s">
        <v>36</v>
      </c>
      <c r="B21" s="58">
        <f>SUMPRODUCT(C16:C19,J16:J19)</f>
        <v>90000</v>
      </c>
      <c r="C21" s="38"/>
      <c r="D21" s="70"/>
      <c r="E21" s="71"/>
      <c r="F21" s="72"/>
      <c r="G21" s="70"/>
      <c r="H21" s="70"/>
      <c r="I21" s="72"/>
      <c r="J21" s="70"/>
      <c r="K21" s="70"/>
      <c r="L21" s="70"/>
      <c r="M21" s="71"/>
    </row>
    <row r="22" spans="1:13" ht="19.95" customHeight="1" x14ac:dyDescent="0.3">
      <c r="A22" s="38" t="s">
        <v>37</v>
      </c>
      <c r="B22" s="58">
        <f>SUMPRODUCT(B16:B19,J16:J19)</f>
        <v>19000</v>
      </c>
      <c r="C22" s="38"/>
      <c r="D22" s="70"/>
      <c r="E22" s="71"/>
      <c r="F22" s="72"/>
      <c r="G22" s="70"/>
      <c r="H22" s="70"/>
      <c r="I22" s="72"/>
      <c r="J22" s="70"/>
      <c r="K22" s="70"/>
      <c r="L22" s="70"/>
      <c r="M22" s="71"/>
    </row>
    <row r="23" spans="1:13" ht="34.049999999999997" customHeight="1" x14ac:dyDescent="0.3">
      <c r="A23" s="38" t="s">
        <v>38</v>
      </c>
      <c r="B23" s="58">
        <f>B21-B22</f>
        <v>71000</v>
      </c>
      <c r="C23" s="38"/>
      <c r="D23" s="70"/>
      <c r="E23" s="71"/>
      <c r="F23" s="72"/>
      <c r="G23" s="70"/>
      <c r="H23" s="70"/>
      <c r="I23" s="72"/>
      <c r="J23" s="70"/>
      <c r="K23" s="70"/>
      <c r="L23" s="70"/>
      <c r="M23" s="71"/>
    </row>
    <row r="24" spans="1:13" ht="19.95" customHeight="1" x14ac:dyDescent="0.3">
      <c r="A24" s="38" t="s">
        <v>39</v>
      </c>
      <c r="B24" s="58">
        <f>Costeo!E107</f>
        <v>61125</v>
      </c>
      <c r="C24" s="38"/>
      <c r="D24" s="70"/>
      <c r="E24" s="71"/>
      <c r="F24" s="72"/>
      <c r="G24" s="70"/>
      <c r="H24" s="70"/>
      <c r="I24" s="72"/>
      <c r="J24" s="70"/>
      <c r="K24" s="70"/>
      <c r="L24" s="70"/>
      <c r="M24" s="71"/>
    </row>
    <row r="25" spans="1:13" ht="19.95" customHeight="1" x14ac:dyDescent="0.3">
      <c r="A25" s="38" t="s">
        <v>40</v>
      </c>
      <c r="B25" s="58">
        <f>B23-B24</f>
        <v>9875</v>
      </c>
      <c r="C25" s="38"/>
      <c r="D25" s="70"/>
      <c r="E25" s="71"/>
      <c r="F25" s="72"/>
      <c r="G25" s="70"/>
      <c r="H25" s="70"/>
      <c r="I25" s="72"/>
      <c r="J25" s="70"/>
      <c r="K25" s="70"/>
      <c r="L25" s="70"/>
      <c r="M25" s="71"/>
    </row>
    <row r="26" spans="1:13" ht="19.95" customHeight="1" x14ac:dyDescent="0.3">
      <c r="A26" s="38" t="s">
        <v>41</v>
      </c>
      <c r="B26" s="58">
        <f>SUM(L16:L17)</f>
        <v>160000</v>
      </c>
      <c r="C26" s="38"/>
      <c r="D26" s="70"/>
      <c r="E26" s="71"/>
      <c r="F26" s="72"/>
      <c r="G26" s="70"/>
      <c r="H26" s="70"/>
      <c r="I26" s="72"/>
      <c r="J26" s="70"/>
      <c r="K26" s="70"/>
      <c r="L26" s="70"/>
      <c r="M26" s="71"/>
    </row>
    <row r="27" spans="1:13" ht="19.95" customHeight="1" x14ac:dyDescent="0.3">
      <c r="A27" s="38" t="s">
        <v>42</v>
      </c>
      <c r="B27" s="58">
        <f>'PPTO Vtas Servicios'!C26</f>
        <v>-150125</v>
      </c>
      <c r="C27" s="38"/>
      <c r="D27" s="70"/>
      <c r="E27" s="71"/>
      <c r="F27" s="72"/>
      <c r="G27" s="70"/>
      <c r="H27" s="70"/>
      <c r="I27" s="72"/>
      <c r="J27" s="70"/>
      <c r="K27" s="70"/>
      <c r="L27" s="70"/>
      <c r="M27" s="71"/>
    </row>
    <row r="28" spans="1:13" ht="19.95" customHeight="1" x14ac:dyDescent="0.3">
      <c r="A28" s="38" t="s">
        <v>43</v>
      </c>
      <c r="B28" s="58">
        <f>IF(OR(AND(SUM('PPTO Vtas Servicios'!C12:N12)&gt;0,'PPTO Vtas Servicios'!B12&lt;=0),AND(SUM('PPTO Vtas Servicios'!C14:N14)&gt;0,'PPTO Vtas Servicios'!B14&lt;=0)),"Cotizar instalaciones",'PPTO Vtas Servicios'!O26)</f>
        <v>-41500</v>
      </c>
      <c r="C28" s="38"/>
      <c r="D28" s="70"/>
      <c r="E28" s="71"/>
      <c r="F28" s="72"/>
      <c r="G28" s="70"/>
      <c r="H28" s="70"/>
      <c r="I28" s="72"/>
      <c r="J28" s="70"/>
      <c r="K28" s="70"/>
      <c r="L28" s="70"/>
      <c r="M28" s="71"/>
    </row>
    <row r="29" spans="1:13" ht="19.95" customHeight="1" x14ac:dyDescent="0.3">
      <c r="A29" s="38" t="s">
        <v>44</v>
      </c>
      <c r="B29" s="65">
        <f>IF(ISNUMBER(B28),IF(AND(MAX('PPTO Vtas Servicios'!C7:N7)=MIN('PPTO Vtas Servicios'!C7:N7),MAX('PPTO Vtas Servicios'!C8:N8)=MIN('PPTO Vtas Servicios'!C8:N8),MAX('PPTO Vtas Servicios'!C9:N9)=MIN('PPTO Vtas Servicios'!C9:N9),MAX('PPTO Vtas Servicios'!C10:N10)=MIN('PPTO Vtas Servicios'!C10:N10),SUM('PPTO Vtas Servicios'!D11:N12,'PPTO Vtas Servicios'!D14:N14)=0),IF(B25&gt;0,ROUNDUP(MAX(0,('PPTO Vtas Servicios'!O33+'PPTO Vtas Servicios'!O34+'PPTO Vtas Servicios'!O36-'PPTO Vtas Servicios'!O20-'PPTO Vtas Servicios'!O21-'PPTO Vtas Servicios'!O23))/B25,0),"No recupera"),"Cartera variable"),"Cotizar instalaciones")</f>
        <v>17</v>
      </c>
      <c r="C29" s="38"/>
      <c r="D29" s="70"/>
      <c r="E29" s="71"/>
      <c r="F29" s="72"/>
      <c r="G29" s="70"/>
      <c r="H29" s="70"/>
      <c r="I29" s="72"/>
      <c r="J29" s="70"/>
      <c r="K29" s="70"/>
      <c r="L29" s="70"/>
      <c r="M29" s="71"/>
    </row>
    <row r="30" spans="1:13" ht="34.049999999999997" customHeight="1" x14ac:dyDescent="0.3">
      <c r="A30" s="38" t="s">
        <v>45</v>
      </c>
      <c r="B30" s="58">
        <f>IF(ISNUMBER(B29),IF(B29&gt;0,(B29-1)*B25-('PPTO Vtas Servicios'!O33+'PPTO Vtas Servicios'!O34+'PPTO Vtas Servicios'!O36-'PPTO Vtas Servicios'!O20-'PPTO Vtas Servicios'!O21-'PPTO Vtas Servicios'!O23),"No requiere espera"),"")</f>
        <v>-2000</v>
      </c>
      <c r="C30" s="38"/>
      <c r="D30" s="70"/>
      <c r="E30" s="71"/>
      <c r="F30" s="72"/>
      <c r="G30" s="70"/>
      <c r="H30" s="70"/>
      <c r="I30" s="72"/>
      <c r="J30" s="70"/>
      <c r="K30" s="70"/>
      <c r="L30" s="70"/>
      <c r="M30" s="71"/>
    </row>
    <row r="31" spans="1:13" ht="19.95" customHeight="1" x14ac:dyDescent="0.3">
      <c r="A31" s="38" t="s">
        <v>46</v>
      </c>
      <c r="B31" s="58">
        <f>IF(ISNUMBER(B29),IF(B29&gt;0,B29*B25-('PPTO Vtas Servicios'!O33+'PPTO Vtas Servicios'!O34+'PPTO Vtas Servicios'!O36-'PPTO Vtas Servicios'!O20-'PPTO Vtas Servicios'!O21-'PPTO Vtas Servicios'!O23),"No requiere espera"),"")</f>
        <v>7875</v>
      </c>
      <c r="C31" s="38"/>
      <c r="D31" s="70"/>
      <c r="E31" s="71"/>
      <c r="F31" s="72"/>
      <c r="G31" s="70"/>
      <c r="H31" s="70"/>
      <c r="I31" s="72"/>
      <c r="J31" s="70"/>
      <c r="K31" s="70"/>
      <c r="L31" s="70"/>
      <c r="M31" s="71"/>
    </row>
    <row r="32" spans="1:13" ht="19.95" customHeight="1" x14ac:dyDescent="0.3">
      <c r="A32" s="38" t="s">
        <v>47</v>
      </c>
      <c r="B32" s="58">
        <f>B28</f>
        <v>-41500</v>
      </c>
      <c r="C32" s="38"/>
      <c r="D32" s="70"/>
      <c r="E32" s="71"/>
      <c r="F32" s="72"/>
      <c r="G32" s="70"/>
      <c r="H32" s="70"/>
      <c r="I32" s="72"/>
      <c r="J32" s="70"/>
      <c r="K32" s="70"/>
      <c r="L32" s="70"/>
      <c r="M32" s="71"/>
    </row>
    <row r="33" spans="1:13" ht="34.049999999999997" customHeight="1" x14ac:dyDescent="0.3">
      <c r="A33" s="38" t="s">
        <v>48</v>
      </c>
      <c r="B33" s="58">
        <f>IF(ISNUMBER(B27),MAX(0,-B27),"Cotizar instalaciones")</f>
        <v>150125</v>
      </c>
      <c r="C33" s="38"/>
      <c r="D33" s="70"/>
      <c r="E33" s="71"/>
      <c r="F33" s="72"/>
      <c r="G33" s="70"/>
      <c r="H33" s="70"/>
      <c r="I33" s="72"/>
      <c r="J33" s="70"/>
      <c r="K33" s="70"/>
      <c r="L33" s="70"/>
      <c r="M33" s="71"/>
    </row>
    <row r="34" spans="1:13" ht="34.049999999999997" customHeight="1" x14ac:dyDescent="0.3">
      <c r="A34" s="41" t="s">
        <v>49</v>
      </c>
      <c r="B34" s="73"/>
      <c r="C34" s="33"/>
      <c r="D34" s="73"/>
      <c r="E34" s="73"/>
      <c r="F34" s="73"/>
      <c r="G34" s="33"/>
      <c r="H34" s="33"/>
      <c r="I34" s="74"/>
      <c r="J34" s="33"/>
      <c r="K34" s="74"/>
      <c r="L34" s="75"/>
      <c r="M34" s="74"/>
    </row>
  </sheetData>
  <pageMargins left="0.75" right="0.75" top="1" bottom="1" header="0.5" footer="0.5"/>
  <pageSetup paperSize="8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8"/>
  <sheetViews>
    <sheetView showGridLines="0" workbookViewId="0"/>
  </sheetViews>
  <sheetFormatPr baseColWidth="10" defaultColWidth="8.88671875" defaultRowHeight="14.4" x14ac:dyDescent="0.3"/>
  <cols>
    <col min="1" max="1" width="33.44140625" customWidth="1"/>
    <col min="2" max="6" width="23" customWidth="1"/>
  </cols>
  <sheetData>
    <row r="1" spans="1:6" ht="22.05" customHeight="1" x14ac:dyDescent="0.3">
      <c r="A1" s="53" t="s">
        <v>140</v>
      </c>
      <c r="B1" s="4"/>
      <c r="C1" s="4"/>
      <c r="D1" s="4"/>
      <c r="E1" s="4"/>
      <c r="F1" s="4"/>
    </row>
    <row r="2" spans="1:6" ht="19.95" customHeight="1" x14ac:dyDescent="0.3">
      <c r="A2" s="1" t="s">
        <v>51</v>
      </c>
      <c r="B2" s="4"/>
      <c r="C2" s="4"/>
      <c r="D2" s="4"/>
      <c r="E2" s="4"/>
      <c r="F2" s="4"/>
    </row>
    <row r="3" spans="1:6" ht="31.95" customHeight="1" x14ac:dyDescent="0.3">
      <c r="A3" s="4" t="s">
        <v>141</v>
      </c>
      <c r="B3" s="4"/>
      <c r="C3" s="4"/>
      <c r="D3" s="4"/>
      <c r="E3" s="4"/>
      <c r="F3" s="4"/>
    </row>
    <row r="4" spans="1:6" ht="48" customHeight="1" x14ac:dyDescent="0.3">
      <c r="A4" s="76" t="s">
        <v>142</v>
      </c>
      <c r="B4" s="67" t="s">
        <v>143</v>
      </c>
      <c r="C4" s="67" t="s">
        <v>144</v>
      </c>
      <c r="D4" s="67" t="s">
        <v>145</v>
      </c>
      <c r="E4" s="67" t="s">
        <v>146</v>
      </c>
      <c r="F4" s="67" t="s">
        <v>145</v>
      </c>
    </row>
    <row r="5" spans="1:6" ht="43.95" customHeight="1" x14ac:dyDescent="0.3">
      <c r="A5" s="38" t="str">
        <f>'PPTO Vtas Servicios'!A7</f>
        <v>Starter mensual</v>
      </c>
      <c r="B5" s="38">
        <f>'PPTO Vtas Servicios'!B7</f>
        <v>15000</v>
      </c>
      <c r="C5" s="77">
        <f>100*500</f>
        <v>50000</v>
      </c>
      <c r="D5" s="71">
        <f>IF(ISNUMBER(C5),C5/B5-1,"Sin tarifa pública")</f>
        <v>2.3333333333333335</v>
      </c>
      <c r="E5" s="77">
        <f>89*500</f>
        <v>44500</v>
      </c>
      <c r="F5" s="71">
        <f>IF(ISNUMBER(E5),E5/B5-1,"Sin tarifa pública")</f>
        <v>1.9666666666666668</v>
      </c>
    </row>
    <row r="6" spans="1:6" ht="43.95" customHeight="1" x14ac:dyDescent="0.3">
      <c r="A6" s="38" t="str">
        <f>'PPTO Vtas Servicios'!A8</f>
        <v>Pro Gym mensual</v>
      </c>
      <c r="B6" s="38">
        <f>'PPTO Vtas Servicios'!B8</f>
        <v>25000</v>
      </c>
      <c r="C6" s="77">
        <f>150*500</f>
        <v>75000</v>
      </c>
      <c r="D6" s="71">
        <f>IF(ISNUMBER(C6),C6/B6-1,"Sin tarifa pública")</f>
        <v>2</v>
      </c>
      <c r="E6" s="77">
        <f>129*500</f>
        <v>64500</v>
      </c>
      <c r="F6" s="71">
        <f>IF(ISNUMBER(E6),E6/B6-1,"Sin tarifa pública")</f>
        <v>1.58</v>
      </c>
    </row>
    <row r="7" spans="1:6" ht="43.95" customHeight="1" x14ac:dyDescent="0.3">
      <c r="A7" s="38" t="str">
        <f>'PPTO Vtas Servicios'!A9</f>
        <v>Premium mensual dedicado</v>
      </c>
      <c r="B7" s="38">
        <f>'PPTO Vtas Servicios'!B9</f>
        <v>45000</v>
      </c>
      <c r="C7" s="77" t="s">
        <v>147</v>
      </c>
      <c r="D7" s="71" t="str">
        <f>IF(ISNUMBER(C7),C7/B7-1,"Sin tarifa pública")</f>
        <v>Sin tarifa pública</v>
      </c>
      <c r="E7" s="77">
        <f>209*500</f>
        <v>104500</v>
      </c>
      <c r="F7" s="71">
        <f>IF(ISNUMBER(E7),E7/B7-1,"Sin tarifa pública")</f>
        <v>1.3222222222222224</v>
      </c>
    </row>
    <row r="8" spans="1:6" ht="43.95" customHeight="1" x14ac:dyDescent="0.3">
      <c r="A8" s="38" t="str">
        <f>'PPTO Vtas Servicios'!A10</f>
        <v>Enterprise mensual desde</v>
      </c>
      <c r="B8" s="38">
        <f>'PPTO Vtas Servicios'!B10</f>
        <v>70000</v>
      </c>
      <c r="C8" s="77" t="s">
        <v>147</v>
      </c>
      <c r="D8" s="71" t="str">
        <f>IF(ISNUMBER(C8),C8/B8-1,"Sin tarifa pública")</f>
        <v>Sin tarifa pública</v>
      </c>
      <c r="E8" s="77" t="s">
        <v>147</v>
      </c>
      <c r="F8" s="71" t="str">
        <f>IF(ISNUMBER(E8),E8/B8-1,"Sin tarifa pública")</f>
        <v>Sin tarifa pública</v>
      </c>
    </row>
  </sheetData>
  <hyperlinks>
    <hyperlink ref="C4" r:id="rId1" xr:uid="{00000000-0004-0000-0400-000000000000}"/>
    <hyperlink ref="E4" r:id="rId2" xr:uid="{00000000-0004-0000-0400-000001000000}"/>
  </hyperlinks>
  <pageMargins left="0.75" right="0.75" top="1" bottom="1" header="0.5" footer="0.5"/>
  <pageSetup paperSize="8" fitToHeight="0" orientation="landscape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4"/>
  <sheetViews>
    <sheetView showGridLines="0" workbookViewId="0"/>
  </sheetViews>
  <sheetFormatPr baseColWidth="10" defaultColWidth="8.88671875" defaultRowHeight="14.4" x14ac:dyDescent="0.3"/>
  <cols>
    <col min="1" max="1" width="32.33203125" customWidth="1"/>
    <col min="2" max="2" width="13.33203125" customWidth="1"/>
    <col min="3" max="4" width="11.5546875" customWidth="1"/>
    <col min="5" max="5" width="13" customWidth="1"/>
    <col min="6" max="6" width="13.33203125" customWidth="1"/>
    <col min="7" max="7" width="12" customWidth="1"/>
    <col min="8" max="8" width="12.6640625" customWidth="1"/>
    <col min="9" max="9" width="13" customWidth="1"/>
    <col min="10" max="10" width="12.88671875" customWidth="1"/>
    <col min="11" max="11" width="13" customWidth="1"/>
    <col min="12" max="12" width="11.5546875" customWidth="1"/>
  </cols>
  <sheetData>
    <row r="1" spans="1:12" ht="22.05" customHeight="1" x14ac:dyDescent="0.3">
      <c r="A1" s="5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9.95" customHeight="1" x14ac:dyDescent="0.3">
      <c r="A2" s="1" t="str">
        <f>'PPTO Vtas Productos'!A2</f>
        <v>PULSO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1.95" customHeight="1" x14ac:dyDescent="0.3">
      <c r="A3" s="4" t="s">
        <v>148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48" customHeight="1" x14ac:dyDescent="0.3">
      <c r="A4" s="78"/>
      <c r="B4" s="67" t="s">
        <v>149</v>
      </c>
      <c r="C4" s="67" t="s">
        <v>150</v>
      </c>
      <c r="D4" s="67" t="s">
        <v>151</v>
      </c>
      <c r="E4" s="67" t="s">
        <v>152</v>
      </c>
      <c r="F4" s="67" t="s">
        <v>153</v>
      </c>
      <c r="G4" s="67" t="s">
        <v>154</v>
      </c>
      <c r="H4" s="67" t="s">
        <v>155</v>
      </c>
      <c r="I4" s="67" t="s">
        <v>156</v>
      </c>
      <c r="J4" s="67" t="s">
        <v>157</v>
      </c>
      <c r="K4" s="67" t="s">
        <v>158</v>
      </c>
      <c r="L4" s="67" t="s">
        <v>159</v>
      </c>
    </row>
    <row r="5" spans="1:12" ht="19.95" customHeight="1" x14ac:dyDescent="0.3">
      <c r="A5" s="38" t="str">
        <f>'PPTO Vtas Servicios'!A7</f>
        <v>Starter mensual</v>
      </c>
      <c r="B5" s="38">
        <f>'PPTO Vtas Servicios'!O7</f>
        <v>12</v>
      </c>
      <c r="C5" s="38">
        <f>'PPTO Vtas Servicios'!B7</f>
        <v>15000</v>
      </c>
      <c r="D5" s="38">
        <f>'PPTO Vtas Servicios'!B29</f>
        <v>4750</v>
      </c>
      <c r="E5" s="70">
        <f t="shared" ref="E5:E12" si="0">C5-D5</f>
        <v>10250</v>
      </c>
      <c r="F5" s="38">
        <f>'PPTO Vtas Servicios'!O16</f>
        <v>180000</v>
      </c>
      <c r="G5" s="71">
        <f t="shared" ref="G5:G13" si="1">IF(F$14&gt;0,F5/F$14,0)</f>
        <v>0.16666666666666666</v>
      </c>
      <c r="H5" s="38">
        <f>'PPTO Vtas Servicios'!O29</f>
        <v>57000</v>
      </c>
      <c r="I5" s="71">
        <f t="shared" ref="I5:I13" si="2">IF(H$14&gt;0,H5/H$14,0)</f>
        <v>5.0824788230049038E-2</v>
      </c>
      <c r="J5" s="38">
        <f t="shared" ref="J5:J12" si="3">F5-H5</f>
        <v>123000</v>
      </c>
      <c r="K5" s="71">
        <f t="shared" ref="K5:K12" si="4">IF(F5&gt;0,J5/F5,"No aplica")</f>
        <v>0.68333333333333335</v>
      </c>
      <c r="L5" s="71" t="str">
        <f t="shared" ref="L5:L12" si="5">IF(ISNUMBER($J$14),IF($J$14&gt;0,J5/$J$14,"No aplica"),"Cotizar")</f>
        <v>No aplica</v>
      </c>
    </row>
    <row r="6" spans="1:12" ht="19.95" customHeight="1" x14ac:dyDescent="0.3">
      <c r="A6" s="38" t="str">
        <f>'PPTO Vtas Servicios'!A8</f>
        <v>Pro Gym mensual</v>
      </c>
      <c r="B6" s="38">
        <f>'PPTO Vtas Servicios'!O8</f>
        <v>36</v>
      </c>
      <c r="C6" s="38">
        <f>'PPTO Vtas Servicios'!B8</f>
        <v>25000</v>
      </c>
      <c r="D6" s="38">
        <f>'PPTO Vtas Servicios'!B30</f>
        <v>4750</v>
      </c>
      <c r="E6" s="70">
        <f t="shared" si="0"/>
        <v>20250</v>
      </c>
      <c r="F6" s="38">
        <f>'PPTO Vtas Servicios'!O17</f>
        <v>900000</v>
      </c>
      <c r="G6" s="71">
        <f t="shared" si="1"/>
        <v>0.83333333333333337</v>
      </c>
      <c r="H6" s="38">
        <f>'PPTO Vtas Servicios'!O30</f>
        <v>171000</v>
      </c>
      <c r="I6" s="71">
        <f t="shared" si="2"/>
        <v>0.15247436469014714</v>
      </c>
      <c r="J6" s="38">
        <f t="shared" si="3"/>
        <v>729000</v>
      </c>
      <c r="K6" s="71">
        <f t="shared" si="4"/>
        <v>0.81</v>
      </c>
      <c r="L6" s="71" t="str">
        <f t="shared" si="5"/>
        <v>No aplica</v>
      </c>
    </row>
    <row r="7" spans="1:12" ht="19.95" customHeight="1" x14ac:dyDescent="0.3">
      <c r="A7" s="38" t="str">
        <f>'PPTO Vtas Servicios'!A9</f>
        <v>Premium mensual dedicado</v>
      </c>
      <c r="B7" s="38">
        <f>'PPTO Vtas Servicios'!O9</f>
        <v>0</v>
      </c>
      <c r="C7" s="38">
        <f>'PPTO Vtas Servicios'!B9</f>
        <v>45000</v>
      </c>
      <c r="D7" s="38">
        <f>'PPTO Vtas Servicios'!B31</f>
        <v>17250</v>
      </c>
      <c r="E7" s="70">
        <f t="shared" si="0"/>
        <v>27750</v>
      </c>
      <c r="F7" s="38">
        <f>'PPTO Vtas Servicios'!O18</f>
        <v>0</v>
      </c>
      <c r="G7" s="71">
        <f t="shared" si="1"/>
        <v>0</v>
      </c>
      <c r="H7" s="38">
        <f>'PPTO Vtas Servicios'!O31</f>
        <v>0</v>
      </c>
      <c r="I7" s="71">
        <f t="shared" si="2"/>
        <v>0</v>
      </c>
      <c r="J7" s="38">
        <f t="shared" si="3"/>
        <v>0</v>
      </c>
      <c r="K7" s="71" t="str">
        <f t="shared" si="4"/>
        <v>No aplica</v>
      </c>
      <c r="L7" s="71" t="str">
        <f t="shared" si="5"/>
        <v>No aplica</v>
      </c>
    </row>
    <row r="8" spans="1:12" ht="19.95" customHeight="1" x14ac:dyDescent="0.3">
      <c r="A8" s="38" t="str">
        <f>'PPTO Vtas Servicios'!A10</f>
        <v>Enterprise mensual desde</v>
      </c>
      <c r="B8" s="38">
        <f>'PPTO Vtas Servicios'!O10</f>
        <v>0</v>
      </c>
      <c r="C8" s="38">
        <f>'PPTO Vtas Servicios'!B10</f>
        <v>70000</v>
      </c>
      <c r="D8" s="38">
        <f>'PPTO Vtas Servicios'!B32</f>
        <v>17250</v>
      </c>
      <c r="E8" s="70">
        <f t="shared" si="0"/>
        <v>52750</v>
      </c>
      <c r="F8" s="38">
        <f>'PPTO Vtas Servicios'!O19</f>
        <v>0</v>
      </c>
      <c r="G8" s="71">
        <f t="shared" si="1"/>
        <v>0</v>
      </c>
      <c r="H8" s="38">
        <f>'PPTO Vtas Servicios'!O32</f>
        <v>0</v>
      </c>
      <c r="I8" s="71">
        <f t="shared" si="2"/>
        <v>0</v>
      </c>
      <c r="J8" s="38">
        <f t="shared" si="3"/>
        <v>0</v>
      </c>
      <c r="K8" s="71" t="str">
        <f t="shared" si="4"/>
        <v>No aplica</v>
      </c>
      <c r="L8" s="71" t="str">
        <f t="shared" si="5"/>
        <v>No aplica</v>
      </c>
    </row>
    <row r="9" spans="1:12" ht="19.95" customHeight="1" x14ac:dyDescent="0.3">
      <c r="A9" s="38" t="str">
        <f>'PPTO Vtas Servicios'!A11</f>
        <v>Instalación básica</v>
      </c>
      <c r="B9" s="38">
        <f>'PPTO Vtas Servicios'!O11</f>
        <v>4</v>
      </c>
      <c r="C9" s="38">
        <f>'PPTO Vtas Servicios'!B11</f>
        <v>0</v>
      </c>
      <c r="D9" s="38">
        <f>'PPTO Vtas Servicios'!B33</f>
        <v>40000</v>
      </c>
      <c r="E9" s="70">
        <f t="shared" si="0"/>
        <v>-40000</v>
      </c>
      <c r="F9" s="38">
        <f>'PPTO Vtas Servicios'!O20</f>
        <v>0</v>
      </c>
      <c r="G9" s="71">
        <f t="shared" si="1"/>
        <v>0</v>
      </c>
      <c r="H9" s="38">
        <f>'PPTO Vtas Servicios'!O33</f>
        <v>160000</v>
      </c>
      <c r="I9" s="71">
        <f t="shared" si="2"/>
        <v>0.14266607222469907</v>
      </c>
      <c r="J9" s="38">
        <f t="shared" si="3"/>
        <v>-160000</v>
      </c>
      <c r="K9" s="71" t="str">
        <f t="shared" si="4"/>
        <v>No aplica</v>
      </c>
      <c r="L9" s="71" t="str">
        <f t="shared" si="5"/>
        <v>No aplica</v>
      </c>
    </row>
    <row r="10" spans="1:12" ht="19.95" customHeight="1" x14ac:dyDescent="0.3">
      <c r="A10" s="38" t="str">
        <f>'PPTO Vtas Servicios'!A12</f>
        <v>Instalación Premium cotizada</v>
      </c>
      <c r="B10" s="38">
        <f>'PPTO Vtas Servicios'!O12</f>
        <v>0</v>
      </c>
      <c r="C10" s="79">
        <f>'PPTO Vtas Servicios'!B12</f>
        <v>0</v>
      </c>
      <c r="D10" s="38">
        <f>'PPTO Vtas Servicios'!B34</f>
        <v>90000</v>
      </c>
      <c r="E10" s="70">
        <f t="shared" si="0"/>
        <v>-90000</v>
      </c>
      <c r="F10" s="38">
        <f>'PPTO Vtas Servicios'!O21</f>
        <v>0</v>
      </c>
      <c r="G10" s="71">
        <f t="shared" si="1"/>
        <v>0</v>
      </c>
      <c r="H10" s="38">
        <f>'PPTO Vtas Servicios'!O34</f>
        <v>0</v>
      </c>
      <c r="I10" s="71">
        <f t="shared" si="2"/>
        <v>0</v>
      </c>
      <c r="J10" s="38">
        <f t="shared" si="3"/>
        <v>0</v>
      </c>
      <c r="K10" s="71" t="str">
        <f t="shared" si="4"/>
        <v>No aplica</v>
      </c>
      <c r="L10" s="71" t="str">
        <f t="shared" si="5"/>
        <v>No aplica</v>
      </c>
    </row>
    <row r="11" spans="1:12" ht="19.95" customHeight="1" x14ac:dyDescent="0.3">
      <c r="A11" s="38" t="str">
        <f>'PPTO Vtas Servicios'!A13</f>
        <v>Operación fija plataforma</v>
      </c>
      <c r="B11" s="38">
        <f>'PPTO Vtas Servicios'!O13</f>
        <v>12</v>
      </c>
      <c r="C11" s="38">
        <f>'PPTO Vtas Servicios'!B13</f>
        <v>0</v>
      </c>
      <c r="D11" s="38">
        <f>'PPTO Vtas Servicios'!B35</f>
        <v>61125</v>
      </c>
      <c r="E11" s="70">
        <f t="shared" si="0"/>
        <v>-61125</v>
      </c>
      <c r="F11" s="38">
        <f>'PPTO Vtas Servicios'!O22</f>
        <v>0</v>
      </c>
      <c r="G11" s="71">
        <f t="shared" si="1"/>
        <v>0</v>
      </c>
      <c r="H11" s="38">
        <f>'PPTO Vtas Servicios'!O35</f>
        <v>733500</v>
      </c>
      <c r="I11" s="71">
        <f t="shared" si="2"/>
        <v>0.65403477485510475</v>
      </c>
      <c r="J11" s="38">
        <f t="shared" si="3"/>
        <v>-733500</v>
      </c>
      <c r="K11" s="71" t="str">
        <f t="shared" si="4"/>
        <v>No aplica</v>
      </c>
      <c r="L11" s="71" t="str">
        <f t="shared" si="5"/>
        <v>No aplica</v>
      </c>
    </row>
    <row r="12" spans="1:12" ht="34.049999999999997" customHeight="1" x14ac:dyDescent="0.3">
      <c r="A12" s="38" t="str">
        <f>'PPTO Vtas Servicios'!A14</f>
        <v>Instalación Enterprise cotizada</v>
      </c>
      <c r="B12" s="38">
        <f>'PPTO Vtas Servicios'!O14</f>
        <v>0</v>
      </c>
      <c r="C12" s="79">
        <f>'PPTO Vtas Servicios'!B14</f>
        <v>0</v>
      </c>
      <c r="D12" s="38">
        <f>'PPTO Vtas Servicios'!B36</f>
        <v>90000</v>
      </c>
      <c r="E12" s="70">
        <f t="shared" si="0"/>
        <v>-90000</v>
      </c>
      <c r="F12" s="38">
        <f>'PPTO Vtas Servicios'!O23</f>
        <v>0</v>
      </c>
      <c r="G12" s="71">
        <f t="shared" si="1"/>
        <v>0</v>
      </c>
      <c r="H12" s="38">
        <f>'PPTO Vtas Servicios'!O36</f>
        <v>0</v>
      </c>
      <c r="I12" s="71">
        <f t="shared" si="2"/>
        <v>0</v>
      </c>
      <c r="J12" s="38">
        <f t="shared" si="3"/>
        <v>0</v>
      </c>
      <c r="K12" s="71" t="str">
        <f t="shared" si="4"/>
        <v>No aplica</v>
      </c>
      <c r="L12" s="71" t="str">
        <f t="shared" si="5"/>
        <v>No aplica</v>
      </c>
    </row>
    <row r="13" spans="1:12" ht="19.95" customHeight="1" x14ac:dyDescent="0.3">
      <c r="A13" s="41" t="s">
        <v>160</v>
      </c>
      <c r="B13" s="80"/>
      <c r="C13" s="33"/>
      <c r="D13" s="73"/>
      <c r="E13" s="73"/>
      <c r="F13" s="38">
        <f>SUM(F5:F12)</f>
        <v>1080000</v>
      </c>
      <c r="G13" s="71">
        <f t="shared" si="1"/>
        <v>1</v>
      </c>
      <c r="H13" s="38">
        <f>SUM(H5:H12)</f>
        <v>1121500</v>
      </c>
      <c r="I13" s="71">
        <f t="shared" si="2"/>
        <v>1</v>
      </c>
      <c r="J13" s="38">
        <f>IF(OR(AND('PPTO Vtas Servicios'!O12&gt;0,'PPTO Vtas Servicios'!B12&lt;=0),AND('PPTO Vtas Servicios'!O14&gt;0,'PPTO Vtas Servicios'!B14&lt;=0)),"Cotizar instalaciones",SUM(J5:J12))</f>
        <v>-41500</v>
      </c>
      <c r="K13" s="71">
        <f>IF(ISNUMBER(J13),IF(F13&gt;0,J13/F13,""),"Cotizar instalaciones")</f>
        <v>-3.8425925925925926E-2</v>
      </c>
      <c r="L13" s="71"/>
    </row>
    <row r="14" spans="1:12" ht="34.049999999999997" customHeight="1" x14ac:dyDescent="0.3">
      <c r="A14" s="81" t="s">
        <v>161</v>
      </c>
      <c r="B14" s="82"/>
      <c r="C14" s="78"/>
      <c r="D14" s="78"/>
      <c r="E14" s="78"/>
      <c r="F14" s="83">
        <f>F13</f>
        <v>1080000</v>
      </c>
      <c r="G14" s="84">
        <f>G13</f>
        <v>1</v>
      </c>
      <c r="H14" s="83">
        <f>H13</f>
        <v>1121500</v>
      </c>
      <c r="I14" s="84">
        <f>I13</f>
        <v>1</v>
      </c>
      <c r="J14" s="83">
        <f>J13</f>
        <v>-41500</v>
      </c>
      <c r="K14" s="84">
        <f>IF(ISNUMBER(J14),IF(F14&gt;0,J14/F14,""),"Cotizar instalaciones")</f>
        <v>-3.8425925925925926E-2</v>
      </c>
      <c r="L14" s="84"/>
    </row>
  </sheetData>
  <pageMargins left="0.75" right="0.75" top="1" bottom="1" header="0.5" footer="0.5"/>
  <pageSetup paperSize="8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PPTO Vtas Productos</vt:lpstr>
      <vt:lpstr>Costeo</vt:lpstr>
      <vt:lpstr>PPTO Vtas Servicios</vt:lpstr>
      <vt:lpstr>Estructura de Precios</vt:lpstr>
      <vt:lpstr>Análisis de Competencia</vt:lpstr>
      <vt:lpstr>Rentabilidad</vt:lpstr>
      <vt:lpstr>'Análisis de Competencia'!Área_de_impresión</vt:lpstr>
      <vt:lpstr>Costeo!Área_de_impresión</vt:lpstr>
      <vt:lpstr>'Estructura de Precios'!Área_de_impresión</vt:lpstr>
      <vt:lpstr>'PPTO Vtas Productos'!Área_de_impresión</vt:lpstr>
      <vt:lpstr>'PPTO Vtas Servicios'!Área_de_impresión</vt:lpstr>
      <vt:lpstr>Rentabilidad!Área_de_impresión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Derian Acuña Rojas</cp:lastModifiedBy>
  <dcterms:created xsi:type="dcterms:W3CDTF">2026-09-11T18:16:57Z</dcterms:created>
  <dcterms:modified xsi:type="dcterms:W3CDTF">2026-09-11T19:27:04Z</dcterms:modified>
</cp:coreProperties>
</file>