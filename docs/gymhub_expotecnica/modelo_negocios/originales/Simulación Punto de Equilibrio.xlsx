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hivos de Datos\Bendicion\Know How\Capacitación PIEA\PIEA 07 Nacional\Sesión Finanzas 1\"/>
    </mc:Choice>
  </mc:AlternateContent>
  <xr:revisionPtr revIDLastSave="0" documentId="8_{3FA49681-470C-46F6-A175-B86FB2B0DD31}" xr6:coauthVersionLast="47" xr6:coauthVersionMax="47" xr10:uidLastSave="{00000000-0000-0000-0000-000000000000}"/>
  <bookViews>
    <workbookView xWindow="-120" yWindow="-120" windowWidth="20730" windowHeight="11160" tabRatio="817" xr2:uid="{2DDF8C8D-07FE-44F1-966E-D4B1CE434887}"/>
  </bookViews>
  <sheets>
    <sheet name="Punto Equilibrio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8" l="1"/>
  <c r="C9" i="8" l="1"/>
  <c r="D9" i="8" s="1"/>
  <c r="E9" i="8" s="1"/>
  <c r="F9" i="8" s="1"/>
  <c r="G9" i="8" s="1"/>
  <c r="H9" i="8" s="1"/>
  <c r="I9" i="8" s="1"/>
  <c r="J9" i="8" s="1"/>
  <c r="K9" i="8" s="1"/>
  <c r="L9" i="8" s="1"/>
  <c r="M9" i="8" s="1"/>
  <c r="B4" i="8"/>
  <c r="C4" i="8" s="1"/>
  <c r="D4" i="8" s="1"/>
  <c r="E4" i="8" s="1"/>
  <c r="F4" i="8" s="1"/>
  <c r="G4" i="8" s="1"/>
  <c r="H4" i="8" s="1"/>
  <c r="I4" i="8" s="1"/>
  <c r="J4" i="8" s="1"/>
  <c r="K4" i="8" s="1"/>
  <c r="L4" i="8" s="1"/>
  <c r="M4" i="8" s="1"/>
  <c r="B5" i="8"/>
  <c r="C5" i="8" s="1"/>
  <c r="B6" i="8" l="1"/>
  <c r="B8" i="8" s="1"/>
  <c r="C6" i="8"/>
  <c r="C8" i="8" s="1"/>
  <c r="D5" i="8"/>
  <c r="E5" i="8" l="1"/>
  <c r="D6" i="8"/>
  <c r="D8" i="8" s="1"/>
  <c r="F5" i="8" l="1"/>
  <c r="E6" i="8"/>
  <c r="E8" i="8" s="1"/>
  <c r="G5" i="8" l="1"/>
  <c r="F6" i="8"/>
  <c r="F8" i="8" s="1"/>
  <c r="H5" i="8" l="1"/>
  <c r="G6" i="8"/>
  <c r="G8" i="8" s="1"/>
  <c r="I5" i="8" l="1"/>
  <c r="H6" i="8"/>
  <c r="H8" i="8" s="1"/>
  <c r="J5" i="8" l="1"/>
  <c r="I6" i="8"/>
  <c r="I8" i="8" s="1"/>
  <c r="K5" i="8" l="1"/>
  <c r="J6" i="8"/>
  <c r="J8" i="8" s="1"/>
  <c r="L5" i="8" l="1"/>
  <c r="K6" i="8"/>
  <c r="K8" i="8" s="1"/>
  <c r="M5" i="8" l="1"/>
  <c r="M6" i="8" s="1"/>
  <c r="M8" i="8" s="1"/>
  <c r="L6" i="8"/>
  <c r="L8" i="8" s="1"/>
</calcChain>
</file>

<file path=xl/sharedStrings.xml><?xml version="1.0" encoding="utf-8"?>
<sst xmlns="http://schemas.openxmlformats.org/spreadsheetml/2006/main" count="36" uniqueCount="21">
  <si>
    <t>Gastos</t>
  </si>
  <si>
    <t>Ventas Und</t>
  </si>
  <si>
    <t>Ventas Colones</t>
  </si>
  <si>
    <t>Precio Venta</t>
  </si>
  <si>
    <t>Utilidades 20%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</si>
  <si>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</si>
  <si>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</si>
  <si>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</si>
  <si>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</si>
  <si>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</si>
  <si>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</si>
  <si>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</si>
  <si>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</si>
  <si>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</si>
  <si>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</si>
  <si>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</si>
  <si>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</si>
  <si>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Simulación Punto de Equilibrio</t>
  </si>
  <si>
    <t>Crecim. Vtas.</t>
  </si>
  <si>
    <t>Crecim. Gtos.</t>
  </si>
  <si>
    <t>Margen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</si>
</sst>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2" borderId="1" xfId="0" applyFill="1" applyBorder="1"/>
    <xf numFmtId="164" fontId="0" fillId="0" borderId="0" xfId="1" applyFont="1"/>
    <xf numFmtId="0" fontId="0" fillId="3" borderId="0" xfId="0" applyFill="1"/>
    <xf numFmtId="164" fontId="0" fillId="0" borderId="1" xfId="1" applyFont="1" applyBorder="1"/>
    <xf numFmtId="164" fontId="0" fillId="0" borderId="1" xfId="1" applyFont="1" applyFill="1" applyBorder="1"/>
    <xf numFmtId="164" fontId="0" fillId="2" borderId="1" xfId="1" applyFont="1" applyFill="1" applyBorder="1"/>
    <xf numFmtId="9" fontId="0" fillId="2" borderId="1" xfId="0" applyNumberFormat="1" applyFill="1" applyBorder="1"/>
    <xf numFmtId="164" fontId="4" fillId="4" borderId="1" xfId="1" applyFont="1" applyFill="1" applyBorder="1"/>
    <xf numFmtId="164" fontId="4" fillId="5" borderId="1" xfId="1" applyFont="1" applyFill="1" applyBorder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Ingresos vs. Gastos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'Punto Equilibrio'!$A$8</c:f>
              <c:strCache>
                <c:ptCount val="1"/>
                <c:pt idx="0">
                  <c:v> Utilidades 20%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'Punto Equilibrio'!$B$7:$M$7</c:f>
              <c:strCache>
                <c:ptCount val="12"/>
                <c:pt idx="0">
                  <c:v> Ene </c:v>
                </c:pt>
                <c:pt idx="1">
                  <c:v> Feb </c:v>
                </c:pt>
                <c:pt idx="2">
                  <c:v> Mar </c:v>
                </c:pt>
                <c:pt idx="3">
                  <c:v> Abr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Ago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Dic </c:v>
                </c:pt>
              </c:strCache>
            </c:strRef>
          </c:cat>
          <c:val>
            <c:numRef>
              <c:f>'Punto Equilibrio'!$B$8:$M$8</c:f>
              <c:numCache>
                <c:formatCode>_-* #,##0_-;\-* #,##0_-;_-* "-"_-;_-@_-</c:formatCode>
                <c:ptCount val="12"/>
                <c:pt idx="0">
                  <c:v>300000</c:v>
                </c:pt>
                <c:pt idx="1">
                  <c:v>345000</c:v>
                </c:pt>
                <c:pt idx="2">
                  <c:v>396750</c:v>
                </c:pt>
                <c:pt idx="3">
                  <c:v>456262.49999999994</c:v>
                </c:pt>
                <c:pt idx="4">
                  <c:v>524701.87499999988</c:v>
                </c:pt>
                <c:pt idx="5">
                  <c:v>603407.15624999977</c:v>
                </c:pt>
                <c:pt idx="6">
                  <c:v>693918.2296874997</c:v>
                </c:pt>
                <c:pt idx="7">
                  <c:v>798005.96414062451</c:v>
                </c:pt>
                <c:pt idx="8">
                  <c:v>917706.85876171815</c:v>
                </c:pt>
                <c:pt idx="9">
                  <c:v>1055362.8875759756</c:v>
                </c:pt>
                <c:pt idx="10">
                  <c:v>1213667.320712372</c:v>
                </c:pt>
                <c:pt idx="11">
                  <c:v>1395717.4188192275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0-478D-AE50-832295D35838}"/>
            </c:ext>
          </c:extLst>
        </c:ser>
        <c:ser>
          <c:idx val="1"/>
          <c:order val="1"/>
          <c:tx>
            <c:strRef>
              <c:f>'Punto Equilibrio'!$A$9</c:f>
              <c:strCache>
                <c:ptCount val="1"/>
                <c:pt idx="0">
                  <c:v> Gastos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'Punto Equilibrio'!$B$7:$M$7</c:f>
              <c:strCache>
                <c:ptCount val="12"/>
                <c:pt idx="0">
                  <c:v> Ene </c:v>
                </c:pt>
                <c:pt idx="1">
                  <c:v> Feb </c:v>
                </c:pt>
                <c:pt idx="2">
                  <c:v> Mar </c:v>
                </c:pt>
                <c:pt idx="3">
                  <c:v> Abr </c:v>
                </c:pt>
                <c:pt idx="4">
                  <c:v> May </c:v>
                </c:pt>
                <c:pt idx="5">
                  <c:v> Jun </c:v>
                </c:pt>
                <c:pt idx="6">
                  <c:v> Jul </c:v>
                </c:pt>
                <c:pt idx="7">
                  <c:v> Ago </c:v>
                </c:pt>
                <c:pt idx="8">
                  <c:v> Sep </c:v>
                </c:pt>
                <c:pt idx="9">
                  <c:v> Oct </c:v>
                </c:pt>
                <c:pt idx="10">
                  <c:v> Nov </c:v>
                </c:pt>
                <c:pt idx="11">
                  <c:v> Dic </c:v>
                </c:pt>
              </c:strCache>
            </c:strRef>
          </c:cat>
          <c:val>
            <c:numRef>
              <c:f>'Punto Equilibrio'!$B$9:$M$9</c:f>
              <c:numCache>
                <c:formatCode>_-* #,##0_-;\-* #,##0_-;_-* "-"_-;_-@_-</c:formatCode>
                <c:ptCount val="12"/>
                <c:pt idx="0">
                  <c:v>550000</c:v>
                </c:pt>
                <c:pt idx="1">
                  <c:v>561000</c:v>
                </c:pt>
                <c:pt idx="2">
                  <c:v>572220</c:v>
                </c:pt>
                <c:pt idx="3">
                  <c:v>583664.4</c:v>
                </c:pt>
                <c:pt idx="4">
                  <c:v>595337.68800000008</c:v>
                </c:pt>
                <c:pt idx="5">
                  <c:v>607244.44176000007</c:v>
                </c:pt>
                <c:pt idx="6">
                  <c:v>619389.33059520007</c:v>
                </c:pt>
                <c:pt idx="7">
                  <c:v>631777.11720710411</c:v>
                </c:pt>
                <c:pt idx="8">
                  <c:v>644412.65955124621</c:v>
                </c:pt>
                <c:pt idx="9">
                  <c:v>657300.91274227109</c:v>
                </c:pt>
                <c:pt idx="10">
                  <c:v>670446.93099711649</c:v>
                </c:pt>
                <c:pt idx="11">
                  <c:v>683855.86961705878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0-478D-AE50-832295D35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6361552"/>
        <c:axId val="396355320"/>
      </c:lineChart>
      <c:catAx>
        <c:axId val="39636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396355320"/>
        <c:crosses val="autoZero"/>
        <c:auto val="1"/>
        <c:lblAlgn val="ctr"/>
        <c:lblOffset val="100"/>
        <c:noMultiLvlLbl val="0"/>
      </c:catAx>
      <c:valAx>
        <c:axId val="39635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39636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330200</xdr:colOff>
      <xdr:row>9</xdr:row>
      <xdr:rowOff>5820</xdr:rowOff>
    </xdr:from>
    <xdr:to>
      <xdr:col>11</xdr:col>
      <xdr:colOff>425450</xdr:colOff>
      <xdr:row>24</xdr:row>
      <xdr:rowOff>124883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4BF9291-FE9B-4AEA-8C8B-94A39F383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C1038-8EF3-47D0-9807-E022DFA37B48}">
  <dimension ref="A1:M16"/>
  <sheetViews>
    <sheetView showGridLines="0" tabSelected="1" zoomScale="90" zoomScaleNormal="90" workbookViewId="0"/>
  </sheetViews>
  <sheetFormatPr baseColWidth="10" defaultRowHeight="15" x14ac:dyDescent="0.25"/>
  <cols>
    <col min="1" max="1" width="16.28515625" bestFit="1" customWidth="1"/>
  </cols>
  <sheetData>
    <row r="1" spans="1:13" x14ac:dyDescent="0.25">
      <c r="A1" s="1" t="s">
        <v>17</v>
      </c>
    </row>
    <row r="3" spans="1:13" x14ac:dyDescent="0.25">
      <c r="A3" s="4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4" t="s">
        <v>13</v>
      </c>
      <c r="K3" s="4" t="s">
        <v>14</v>
      </c>
      <c r="L3" s="4" t="s">
        <v>15</v>
      </c>
      <c r="M3" s="4" t="s">
        <v>16</v>
      </c>
    </row>
    <row r="4" spans="1:13" s="3" customFormat="1" x14ac:dyDescent="0.25">
      <c r="A4" s="5" t="s">
        <v>1</v>
      </c>
      <c r="B4" s="6">
        <f>B11</f>
        <v>10000</v>
      </c>
      <c r="C4" s="5">
        <f t="shared" ref="C4:M4" si="0">B4*(1+$B$14)</f>
        <v>11500</v>
      </c>
      <c r="D4" s="5">
        <f t="shared" si="0"/>
        <v>13224.999999999998</v>
      </c>
      <c r="E4" s="5">
        <f t="shared" si="0"/>
        <v>15208.749999999996</v>
      </c>
      <c r="F4" s="5">
        <f t="shared" si="0"/>
        <v>17490.062499999993</v>
      </c>
      <c r="G4" s="5">
        <f t="shared" si="0"/>
        <v>20113.571874999991</v>
      </c>
      <c r="H4" s="5">
        <f t="shared" si="0"/>
        <v>23130.607656249987</v>
      </c>
      <c r="I4" s="5">
        <f t="shared" si="0"/>
        <v>26600.198804687483</v>
      </c>
      <c r="J4" s="5">
        <f t="shared" si="0"/>
        <v>30590.228625390602</v>
      </c>
      <c r="K4" s="5">
        <f t="shared" si="0"/>
        <v>35178.762919199187</v>
      </c>
      <c r="L4" s="5">
        <f t="shared" si="0"/>
        <v>40455.577357079062</v>
      </c>
      <c r="M4" s="5">
        <f t="shared" si="0"/>
        <v>46523.913960640915</v>
      </c>
    </row>
    <row r="5" spans="1:13" s="3" customFormat="1" x14ac:dyDescent="0.25">
      <c r="A5" s="5" t="s">
        <v>3</v>
      </c>
      <c r="B5" s="6">
        <f>B12</f>
        <v>150</v>
      </c>
      <c r="C5" s="5">
        <f>B5</f>
        <v>150</v>
      </c>
      <c r="D5" s="5">
        <f t="shared" ref="D5:M5" si="1">C5</f>
        <v>150</v>
      </c>
      <c r="E5" s="5">
        <f t="shared" si="1"/>
        <v>150</v>
      </c>
      <c r="F5" s="5">
        <f t="shared" si="1"/>
        <v>150</v>
      </c>
      <c r="G5" s="5">
        <f t="shared" si="1"/>
        <v>150</v>
      </c>
      <c r="H5" s="5">
        <f t="shared" si="1"/>
        <v>150</v>
      </c>
      <c r="I5" s="5">
        <f t="shared" si="1"/>
        <v>150</v>
      </c>
      <c r="J5" s="5">
        <f t="shared" si="1"/>
        <v>150</v>
      </c>
      <c r="K5" s="5">
        <f t="shared" si="1"/>
        <v>150</v>
      </c>
      <c r="L5" s="5">
        <f t="shared" si="1"/>
        <v>150</v>
      </c>
      <c r="M5" s="5">
        <f t="shared" si="1"/>
        <v>150</v>
      </c>
    </row>
    <row r="6" spans="1:13" s="3" customFormat="1" x14ac:dyDescent="0.25">
      <c r="A6" s="5" t="s">
        <v>2</v>
      </c>
      <c r="B6" s="5">
        <f>B4*B5</f>
        <v>1500000</v>
      </c>
      <c r="C6" s="5">
        <f t="shared" ref="C6:M6" si="2">C4*C5</f>
        <v>1725000</v>
      </c>
      <c r="D6" s="5">
        <f t="shared" si="2"/>
        <v>1983749.9999999998</v>
      </c>
      <c r="E6" s="5">
        <f t="shared" si="2"/>
        <v>2281312.4999999995</v>
      </c>
      <c r="F6" s="5">
        <f t="shared" si="2"/>
        <v>2623509.3749999991</v>
      </c>
      <c r="G6" s="5">
        <f t="shared" si="2"/>
        <v>3017035.7812499986</v>
      </c>
      <c r="H6" s="5">
        <f t="shared" si="2"/>
        <v>3469591.1484374981</v>
      </c>
      <c r="I6" s="5">
        <f t="shared" si="2"/>
        <v>3990029.8207031223</v>
      </c>
      <c r="J6" s="5">
        <f t="shared" si="2"/>
        <v>4588534.2938085906</v>
      </c>
      <c r="K6" s="5">
        <f t="shared" si="2"/>
        <v>5276814.4378798781</v>
      </c>
      <c r="L6" s="5">
        <f t="shared" si="2"/>
        <v>6068336.6035618596</v>
      </c>
      <c r="M6" s="5">
        <f t="shared" si="2"/>
        <v>6978587.0940961372</v>
      </c>
    </row>
    <row r="7" spans="1:13" s="3" customFormat="1" x14ac:dyDescent="0.25">
      <c r="A7" s="5"/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</row>
    <row r="8" spans="1:13" s="3" customFormat="1" x14ac:dyDescent="0.25">
      <c r="A8" s="9" t="s">
        <v>4</v>
      </c>
      <c r="B8" s="9">
        <f>B6*$B$13</f>
        <v>300000</v>
      </c>
      <c r="C8" s="9">
        <f>C6*$B$13</f>
        <v>345000</v>
      </c>
      <c r="D8" s="9">
        <f>D6*$B$13</f>
        <v>396750</v>
      </c>
      <c r="E8" s="9">
        <f>E6*$B$13</f>
        <v>456262.49999999994</v>
      </c>
      <c r="F8" s="9">
        <f t="shared" ref="F8:M8" si="3">F6*$B$13</f>
        <v>524701.87499999988</v>
      </c>
      <c r="G8" s="9">
        <f t="shared" si="3"/>
        <v>603407.15624999977</v>
      </c>
      <c r="H8" s="9">
        <f t="shared" si="3"/>
        <v>693918.2296874997</v>
      </c>
      <c r="I8" s="9">
        <f t="shared" si="3"/>
        <v>798005.96414062451</v>
      </c>
      <c r="J8" s="9">
        <f t="shared" si="3"/>
        <v>917706.85876171815</v>
      </c>
      <c r="K8" s="9">
        <f t="shared" si="3"/>
        <v>1055362.8875759756</v>
      </c>
      <c r="L8" s="9">
        <f t="shared" si="3"/>
        <v>1213667.320712372</v>
      </c>
      <c r="M8" s="9">
        <f t="shared" si="3"/>
        <v>1395717.4188192275</v>
      </c>
    </row>
    <row r="9" spans="1:13" s="3" customFormat="1" x14ac:dyDescent="0.25">
      <c r="A9" s="10" t="s">
        <v>0</v>
      </c>
      <c r="B9" s="10">
        <f>B15</f>
        <v>550000</v>
      </c>
      <c r="C9" s="10">
        <f>B9*(1+$B$16)</f>
        <v>561000</v>
      </c>
      <c r="D9" s="10">
        <f t="shared" ref="D9:M9" si="4">C9*(1+$B$16)</f>
        <v>572220</v>
      </c>
      <c r="E9" s="10">
        <f t="shared" si="4"/>
        <v>583664.4</v>
      </c>
      <c r="F9" s="10">
        <f t="shared" si="4"/>
        <v>595337.68800000008</v>
      </c>
      <c r="G9" s="10">
        <f t="shared" si="4"/>
        <v>607244.44176000007</v>
      </c>
      <c r="H9" s="10">
        <f t="shared" si="4"/>
        <v>619389.33059520007</v>
      </c>
      <c r="I9" s="10">
        <f t="shared" si="4"/>
        <v>631777.11720710411</v>
      </c>
      <c r="J9" s="10">
        <f t="shared" si="4"/>
        <v>644412.65955124621</v>
      </c>
      <c r="K9" s="10">
        <f t="shared" si="4"/>
        <v>657300.91274227109</v>
      </c>
      <c r="L9" s="10">
        <f t="shared" si="4"/>
        <v>670446.93099711649</v>
      </c>
      <c r="M9" s="10">
        <f t="shared" si="4"/>
        <v>683855.86961705878</v>
      </c>
    </row>
    <row r="11" spans="1:13" x14ac:dyDescent="0.25">
      <c r="A11" s="5" t="s">
        <v>1</v>
      </c>
      <c r="B11" s="7">
        <v>10000</v>
      </c>
    </row>
    <row r="12" spans="1:13" x14ac:dyDescent="0.25">
      <c r="A12" s="5" t="s">
        <v>3</v>
      </c>
      <c r="B12" s="2">
        <v>150</v>
      </c>
    </row>
    <row r="13" spans="1:13" x14ac:dyDescent="0.25">
      <c r="A13" s="5" t="s">
        <v>20</v>
      </c>
      <c r="B13" s="8">
        <v>0.2</v>
      </c>
    </row>
    <row r="14" spans="1:13" x14ac:dyDescent="0.25">
      <c r="A14" s="5" t="s">
        <v>18</v>
      </c>
      <c r="B14" s="8">
        <v>0.15</v>
      </c>
    </row>
    <row r="15" spans="1:13" x14ac:dyDescent="0.25">
      <c r="A15" s="5" t="s">
        <v>0</v>
      </c>
      <c r="B15" s="7">
        <v>550000</v>
      </c>
    </row>
    <row r="16" spans="1:13" x14ac:dyDescent="0.25">
      <c r="A16" s="5" t="s">
        <v>19</v>
      </c>
      <c r="B16" s="8">
        <v>0.02</v>
      </c>
    </row>
  </sheetData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Punto Equilibrio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Vargas</dc:creator>
  <cp:lastModifiedBy>Eduardo Vargas</cp:lastModifiedBy>
  <dcterms:created xsi:type="dcterms:W3CDTF">2019-09-25T16:45:02Z</dcterms:created>
  <dcterms:modified xsi:type="dcterms:W3CDTF">2021-11-06T17:26:01Z</dcterms:modified>
</cp:coreProperties>
</file>