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sumen de tablas" sheetId="1" state="visible" r:id="rId1"/>
    <sheet name="Gráficas" sheetId="2" state="visible" r:id="rId2"/>
    <sheet name="PPTO Vtas Productos" sheetId="3" state="visible" r:id="rId3"/>
    <sheet name="Costeo" sheetId="4" state="visible" r:id="rId4"/>
    <sheet name="PPTO Vtas Servicios" sheetId="5" state="visible" r:id="rId5"/>
    <sheet name="Estructura de Precios" sheetId="6" state="visible" r:id="rId6"/>
  </sheets>
  <definedNames>
    <definedName name="_xlnm.Print_Area" localSheetId="0">'Resumen de tablas'!$A$1:$G$49</definedName>
    <definedName name="_xlnm.Print_Area" localSheetId="1">'Gráficas'!$A$1:$N$52</definedName>
    <definedName name="_xlnm.Print_Area" localSheetId="2">'PPTO Vtas Productos'!$A$1:$D$12</definedName>
    <definedName name="_xlnm.Print_Area" localSheetId="3">'Costeo'!$A$1:$E$31</definedName>
    <definedName name="_xlnm.Print_Area" localSheetId="4">'PPTO Vtas Servicios'!$A$1:$O$37</definedName>
    <definedName name="_xlnm.Print_Area" localSheetId="5">'Estructura de Precios'!$A$1:$E$24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_-* #,##0_-;\-* #,##0_-;_-* &quot;-&quot;_-;_-@_-"/>
    <numFmt numFmtId="165" formatCode="&quot;₡&quot;#,##0"/>
    <numFmt numFmtId="166" formatCode="&quot;₡&quot;\ #,##0;\(&quot;₡&quot;\ #,##0\);&quot;Por cotizar&quot;"/>
    <numFmt numFmtId="167" formatCode="_(* #,##0_);_(* \(#,##0\);_(* &quot;-&quot;??_);_(@_)"/>
    <numFmt numFmtId="168" formatCode="&quot;₡&quot;\ #,##0;\(&quot;₡&quot;\ #,##0\);&quot;₡&quot;\ 0"/>
    <numFmt numFmtId="169" formatCode="&quot;₡&quot;\ #,##0.00;\(&quot;₡&quot;\ #,##0.00\);&quot;₡&quot;\ 0.00"/>
    <numFmt numFmtId="170" formatCode="0.0%"/>
    <numFmt numFmtId="171" formatCode="#,##0.####"/>
    <numFmt numFmtId="172" formatCode="[=999]&quot;No recuperado&quot;;0"/>
    <numFmt numFmtId="173" formatCode="[=1000000000]&quot;No cubre / fuera de alcance&quot;;0"/>
    <numFmt numFmtId="174" formatCode="&quot;₡&quot;\ #,##0.00;&quot;₡&quot;\ \-#,##0.00;&quot;₡&quot;\ 0.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205B85"/>
      <sz val="12"/>
      <u val="single"/>
    </font>
    <font>
      <name val="Calibri"/>
      <b val="1"/>
      <color rgb="FFFFFFFF"/>
      <sz val="12"/>
    </font>
    <font>
      <name val="Calibri"/>
      <b val="1"/>
      <color rgb="FF203864"/>
      <sz val="12"/>
    </font>
    <font>
      <name val="Calibri"/>
      <color rgb="FF203864"/>
      <sz val="11"/>
    </font>
    <font>
      <name val="Calibri"/>
      <color rgb="FF203864"/>
      <sz val="12"/>
    </font>
    <font>
      <name val="Calibri"/>
      <b val="1"/>
      <color rgb="FFFFFFFF"/>
      <sz val="11"/>
    </font>
    <font>
      <name val="Calibri"/>
      <b val="1"/>
      <color rgb="FF203864"/>
      <sz val="17"/>
    </font>
    <font>
      <name val="Calibri"/>
      <b val="1"/>
      <color rgb="FF20564E"/>
      <sz val="16"/>
    </font>
    <font>
      <name val="Calibri"/>
      <b val="1"/>
      <color rgb="FFFFFFFF"/>
      <sz val="13"/>
    </font>
    <font>
      <name val="Calibri"/>
      <color rgb="FF203B50"/>
      <sz val="12"/>
    </font>
  </fonts>
  <fills count="1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03864"/>
      </patternFill>
    </fill>
    <fill>
      <patternFill patternType="solid">
        <fgColor rgb="FFDBEBE8"/>
      </patternFill>
    </fill>
    <fill>
      <patternFill patternType="solid">
        <fgColor rgb="FFFFFFFF"/>
      </patternFill>
    </fill>
    <fill>
      <patternFill patternType="solid">
        <fgColor rgb="FFE5EDF5"/>
      </patternFill>
    </fill>
    <fill>
      <patternFill patternType="solid">
        <fgColor rgb="FFEEF1F5"/>
      </patternFill>
    </fill>
    <fill>
      <patternFill patternType="solid">
        <fgColor rgb="FF203B5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rgb="FFD7DFE8"/>
      </bottom>
      <diagonal/>
    </border>
    <border>
      <left/>
      <right/>
      <top/>
      <bottom style="hair">
        <color rgb="FFD7DFE8"/>
      </bottom>
      <diagonal/>
    </border>
    <border>
      <left/>
      <right/>
      <top/>
      <bottom style="hair">
        <color rgb="FFD7DFE8"/>
      </bottom>
      <diagonal/>
    </border>
    <border>
      <left/>
      <right/>
      <top/>
      <bottom style="hair">
        <color rgb="FFCDD8E5"/>
      </bottom>
      <diagonal/>
    </border>
    <border>
      <left/>
      <right/>
      <top/>
      <bottom style="hair">
        <color rgb="FFCDD8E5"/>
      </bottom>
      <diagonal/>
    </border>
    <border>
      <left/>
      <right/>
      <top/>
      <bottom style="hair">
        <color rgb="FFCDD8E5"/>
      </bottom>
      <diagonal/>
    </border>
    <border>
      <left/>
      <right/>
      <top/>
      <bottom style="hair">
        <color rgb="FFCAD6E5"/>
      </bottom>
      <diagonal/>
    </border>
    <border>
      <left/>
      <right/>
      <top/>
      <bottom style="hair">
        <color rgb="FFCAD6E5"/>
      </bottom>
      <diagonal/>
    </border>
    <border>
      <left/>
      <right/>
      <top/>
      <bottom style="hair">
        <color rgb="FFCAD6E5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164" fontId="1" fillId="0" borderId="0" applyAlignment="1" applyProtection="1" pivotButton="0" quotePrefix="0" xfId="0">
      <alignment vertical="center" wrapText="1"/>
      <protection locked="0" hidden="0"/>
    </xf>
    <xf numFmtId="164" fontId="1" fillId="0" borderId="0" applyProtection="1" pivotButton="0" quotePrefix="0" xfId="0">
      <protection locked="0" hidden="0"/>
    </xf>
    <xf numFmtId="164" fontId="1" fillId="2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164" fontId="1" fillId="3" borderId="1" applyAlignment="1" applyProtection="1" pivotButton="0" quotePrefix="0" xfId="0">
      <alignment vertical="center" wrapText="1"/>
      <protection locked="0" hidden="0"/>
    </xf>
    <xf numFmtId="164" fontId="0" fillId="2" borderId="1" applyAlignment="1" applyProtection="1" pivotButton="0" quotePrefix="0" xfId="0">
      <alignment vertical="center" wrapText="1"/>
      <protection locked="0" hidden="0"/>
    </xf>
    <xf numFmtId="165" fontId="0" fillId="2" borderId="1" applyAlignment="1" applyProtection="1" pivotButton="0" quotePrefix="0" xfId="0">
      <alignment vertical="center" wrapText="1"/>
      <protection locked="0" hidden="0"/>
    </xf>
    <xf numFmtId="166" fontId="0" fillId="2" borderId="1" applyAlignment="1" applyProtection="1" pivotButton="0" quotePrefix="0" xfId="0">
      <alignment vertical="center" wrapText="1"/>
      <protection locked="0" hidden="0"/>
    </xf>
    <xf numFmtId="17" fontId="1" fillId="4" borderId="1" applyAlignment="1" applyProtection="1" pivotButton="0" quotePrefix="0" xfId="0">
      <alignment vertical="center" wrapText="1"/>
      <protection locked="0" hidden="0"/>
    </xf>
    <xf numFmtId="164" fontId="1" fillId="4" borderId="1" applyAlignment="1" applyProtection="1" pivotButton="0" quotePrefix="0" xfId="0">
      <alignment vertical="center" wrapText="1"/>
      <protection locked="0" hidden="0"/>
    </xf>
    <xf numFmtId="164" fontId="0" fillId="0" borderId="1" applyProtection="1" pivotButton="0" quotePrefix="0" xfId="0">
      <protection locked="0" hidden="0"/>
    </xf>
    <xf numFmtId="17" fontId="1" fillId="4" borderId="1" applyAlignment="1" applyProtection="1" pivotButton="0" quotePrefix="0" xfId="0">
      <alignment horizontal="center" vertical="center" wrapText="1"/>
      <protection locked="0" hidden="0"/>
    </xf>
    <xf numFmtId="164" fontId="1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164" fontId="1" fillId="2" borderId="1" applyAlignment="1" applyProtection="1" pivotButton="0" quotePrefix="0" xfId="0">
      <alignment vertical="center" wrapText="1"/>
      <protection locked="0" hidden="0"/>
    </xf>
    <xf numFmtId="164" fontId="0" fillId="0" borderId="1" applyAlignment="1" applyProtection="1" pivotButton="0" quotePrefix="0" xfId="0">
      <alignment vertical="center" wrapText="1"/>
      <protection locked="0" hidden="0"/>
    </xf>
    <xf numFmtId="166" fontId="1" fillId="2" borderId="1" applyAlignment="1" applyProtection="1" pivotButton="0" quotePrefix="0" xfId="0">
      <alignment vertical="center" wrapText="1"/>
      <protection locked="0" hidden="0"/>
    </xf>
    <xf numFmtId="17" fontId="1" fillId="3" borderId="1" applyAlignment="1" applyProtection="1" pivotButton="0" quotePrefix="0" xfId="0">
      <alignment vertical="center" wrapText="1"/>
      <protection locked="0" hidden="0"/>
    </xf>
    <xf numFmtId="164" fontId="1" fillId="0" borderId="1" applyAlignment="1" applyProtection="1" pivotButton="0" quotePrefix="0" xfId="0">
      <alignment vertical="center" wrapText="1"/>
      <protection locked="0" hidden="0"/>
    </xf>
    <xf numFmtId="164" fontId="1" fillId="5" borderId="1" applyAlignment="1" applyProtection="1" pivotButton="0" quotePrefix="0" xfId="0">
      <alignment vertical="center" wrapText="1"/>
      <protection locked="0" hidden="0"/>
    </xf>
    <xf numFmtId="164" fontId="1" fillId="6" borderId="1" applyAlignment="1" applyProtection="1" pivotButton="0" quotePrefix="0" xfId="0">
      <alignment vertical="center" wrapText="1"/>
      <protection locked="0" hidden="0"/>
    </xf>
    <xf numFmtId="164" fontId="1" fillId="6" borderId="1" applyProtection="1" pivotButton="0" quotePrefix="0" xfId="0">
      <protection locked="0" hidden="0"/>
    </xf>
    <xf numFmtId="164" fontId="0" fillId="6" borderId="1" applyProtection="1" pivotButton="0" quotePrefix="0" xfId="0">
      <protection locked="0" hidden="0"/>
    </xf>
    <xf numFmtId="167" fontId="1" fillId="6" borderId="1" applyAlignment="1" applyProtection="1" pivotButton="0" quotePrefix="0" xfId="0">
      <alignment vertical="center" wrapText="1"/>
      <protection locked="0" hidden="0"/>
    </xf>
    <xf numFmtId="164" fontId="1" fillId="3" borderId="2" applyAlignment="1" applyProtection="1" pivotButton="0" quotePrefix="0" xfId="0">
      <alignment vertical="center" wrapText="1"/>
      <protection locked="0" hidden="0"/>
    </xf>
    <xf numFmtId="164" fontId="1" fillId="3" borderId="2" applyProtection="1" pivotButton="0" quotePrefix="0" xfId="0">
      <protection locked="0" hidden="0"/>
    </xf>
    <xf numFmtId="9" fontId="1" fillId="3" borderId="2" applyAlignment="1" applyProtection="1" pivotButton="0" quotePrefix="0" xfId="0">
      <alignment vertical="center" wrapText="1"/>
      <protection locked="0" hidden="0"/>
    </xf>
    <xf numFmtId="164" fontId="1" fillId="3" borderId="3" applyAlignment="1" applyProtection="1" pivotButton="0" quotePrefix="0" xfId="0">
      <alignment vertical="center" wrapText="1"/>
      <protection locked="0" hidden="0"/>
    </xf>
    <xf numFmtId="17" fontId="1" fillId="3" borderId="3" applyAlignment="1" applyProtection="1" pivotButton="0" quotePrefix="0" xfId="0">
      <alignment vertical="center" wrapText="1"/>
      <protection locked="0" hidden="0"/>
    </xf>
    <xf numFmtId="164" fontId="0" fillId="7" borderId="1" applyAlignment="1" applyProtection="1" pivotButton="0" quotePrefix="0" xfId="0">
      <alignment vertical="center" wrapText="1"/>
      <protection locked="0" hidden="0"/>
    </xf>
    <xf numFmtId="168" fontId="0" fillId="2" borderId="1" applyAlignment="1" applyProtection="1" pivotButton="0" quotePrefix="0" xfId="0">
      <alignment vertical="center" wrapText="1"/>
      <protection locked="0" hidden="0"/>
    </xf>
    <xf numFmtId="0" fontId="6" fillId="10" borderId="7" applyAlignment="1" pivotButton="0" quotePrefix="0" xfId="0">
      <alignment vertical="center" wrapText="1"/>
    </xf>
    <xf numFmtId="0" fontId="2" fillId="10" borderId="7" applyAlignment="1" pivotButton="0" quotePrefix="0" xfId="0">
      <alignment vertical="center" wrapText="1"/>
    </xf>
    <xf numFmtId="169" fontId="6" fillId="10" borderId="7" applyAlignment="1" pivotButton="0" quotePrefix="0" xfId="0">
      <alignment vertical="center" wrapText="1"/>
    </xf>
    <xf numFmtId="0" fontId="4" fillId="11" borderId="7" applyAlignment="1" pivotButton="0" quotePrefix="0" xfId="0">
      <alignment vertical="center" wrapText="1"/>
    </xf>
    <xf numFmtId="169" fontId="4" fillId="11" borderId="7" applyAlignment="1" pivotButton="0" quotePrefix="0" xfId="0">
      <alignment vertical="center" wrapText="1"/>
    </xf>
    <xf numFmtId="0" fontId="4" fillId="9" borderId="7" applyAlignment="1" pivotButton="0" quotePrefix="0" xfId="0">
      <alignment vertical="center" wrapText="1"/>
    </xf>
    <xf numFmtId="169" fontId="4" fillId="9" borderId="7" applyAlignment="1" pivotButton="0" quotePrefix="0" xfId="0">
      <alignment vertical="center" wrapText="1"/>
    </xf>
    <xf numFmtId="170" fontId="6" fillId="10" borderId="7" applyAlignment="1" pivotButton="0" quotePrefix="0" xfId="0">
      <alignment vertical="center" wrapText="1"/>
    </xf>
    <xf numFmtId="171" fontId="6" fillId="10" borderId="7" applyAlignment="1" pivotButton="0" quotePrefix="0" xfId="0">
      <alignment vertical="center" wrapText="1"/>
    </xf>
    <xf numFmtId="0" fontId="5" fillId="10" borderId="7" applyAlignment="1" pivotButton="0" quotePrefix="0" xfId="0">
      <alignment vertical="center" wrapText="1"/>
    </xf>
    <xf numFmtId="171" fontId="5" fillId="10" borderId="7" applyAlignment="1" pivotButton="0" quotePrefix="0" xfId="0">
      <alignment vertical="center" wrapText="1"/>
    </xf>
    <xf numFmtId="9" fontId="5" fillId="10" borderId="7" applyAlignment="1" pivotButton="0" quotePrefix="0" xfId="0">
      <alignment vertical="center" wrapText="1"/>
    </xf>
    <xf numFmtId="169" fontId="5" fillId="10" borderId="7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5" fillId="10" borderId="4" applyAlignment="1" pivotButton="0" quotePrefix="0" xfId="0">
      <alignment vertical="center" wrapText="1"/>
    </xf>
    <xf numFmtId="169" fontId="5" fillId="10" borderId="4" applyAlignment="1" pivotButton="0" quotePrefix="0" xfId="0">
      <alignment vertical="center" wrapText="1"/>
    </xf>
    <xf numFmtId="172" fontId="5" fillId="10" borderId="4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169" fontId="6" fillId="0" borderId="10" applyAlignment="1" pivotButton="0" quotePrefix="0" xfId="0">
      <alignment vertical="center" wrapText="1"/>
    </xf>
    <xf numFmtId="1" fontId="9" fillId="9" borderId="10" applyAlignment="1" pivotButton="0" quotePrefix="0" xfId="0">
      <alignment vertical="center" wrapText="1"/>
    </xf>
    <xf numFmtId="1" fontId="6" fillId="0" borderId="10" applyAlignment="1" pivotButton="0" quotePrefix="0" xfId="0">
      <alignment vertical="center" wrapText="1"/>
    </xf>
    <xf numFmtId="169" fontId="6" fillId="12" borderId="10" applyAlignment="1" pivotButton="0" quotePrefix="0" xfId="0">
      <alignment vertical="center" wrapText="1"/>
    </xf>
    <xf numFmtId="169" fontId="6" fillId="9" borderId="10" applyAlignment="1" pivotButton="0" quotePrefix="0" xfId="0">
      <alignment vertical="center" wrapText="1"/>
    </xf>
    <xf numFmtId="173" fontId="6" fillId="0" borderId="1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74" fontId="11" fillId="0" borderId="0" applyAlignment="1" pivotButton="0" quotePrefix="0" xfId="0">
      <alignment vertical="center" wrapText="1"/>
    </xf>
    <xf numFmtId="1" fontId="11" fillId="0" borderId="0" applyAlignment="1" pivotButton="0" quotePrefix="0" xfId="0">
      <alignment vertical="center" wrapText="1"/>
    </xf>
    <xf numFmtId="1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0" fillId="0" borderId="0" pivotButton="0" quotePrefix="0" xfId="0"/>
    <xf numFmtId="0" fontId="10" fillId="13" borderId="0" applyAlignment="1" pivotButton="0" quotePrefix="0" xfId="0">
      <alignment vertical="center" wrapText="1"/>
    </xf>
    <xf numFmtId="164" fontId="3" fillId="8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2" fillId="10" borderId="9" applyAlignment="1" pivotButton="0" quotePrefix="0" xfId="0">
      <alignment vertical="center" wrapText="1"/>
    </xf>
    <xf numFmtId="0" fontId="0" fillId="0" borderId="8" pivotButton="0" quotePrefix="0" xfId="0"/>
    <xf numFmtId="0" fontId="5" fillId="10" borderId="9" applyAlignment="1" pivotButton="0" quotePrefix="0" xfId="0">
      <alignment vertical="center" wrapText="1"/>
    </xf>
    <xf numFmtId="0" fontId="7" fillId="8" borderId="9" applyAlignment="1" pivotButton="0" quotePrefix="0" xfId="0">
      <alignment vertical="center" wrapText="1"/>
    </xf>
    <xf numFmtId="0" fontId="6" fillId="10" borderId="9" applyAlignment="1" pivotButton="0" quotePrefix="0" xfId="0">
      <alignment vertical="center" wrapText="1"/>
    </xf>
    <xf numFmtId="0" fontId="7" fillId="8" borderId="6" applyAlignment="1" pivotButton="0" quotePrefix="0" xfId="0">
      <alignment vertical="center" wrapText="1"/>
    </xf>
    <xf numFmtId="0" fontId="0" fillId="0" borderId="5" pivotButton="0" quotePrefix="0" xfId="0"/>
    <xf numFmtId="0" fontId="3" fillId="8" borderId="9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1" pivotButton="0" quotePrefix="0" xfId="0"/>
    <xf numFmtId="0" fontId="3" fillId="8" borderId="12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169" fontId="8" fillId="0" borderId="12" applyAlignment="1" pivotButton="0" quotePrefix="0" xfId="0">
      <alignment vertical="center" wrapText="1"/>
    </xf>
    <xf numFmtId="174" fontId="11" fillId="0" borderId="0" applyAlignment="1" pivotButton="0" quotePrefix="0" xfId="0">
      <alignment vertical="center" wrapText="1"/>
    </xf>
    <xf numFmtId="164" fontId="3" fillId="8" borderId="0" applyAlignment="1" applyProtection="1" pivotButton="0" quotePrefix="0" xfId="0">
      <alignment vertical="center" wrapText="1"/>
      <protection locked="0" hidden="0"/>
    </xf>
    <xf numFmtId="164" fontId="1" fillId="2" borderId="0" applyAlignment="1" applyProtection="1" pivotButton="0" quotePrefix="0" xfId="0">
      <alignment vertical="center" wrapText="1"/>
      <protection locked="0" hidden="0"/>
    </xf>
    <xf numFmtId="164" fontId="1" fillId="0" borderId="0" applyProtection="1" pivotButton="0" quotePrefix="0" xfId="0">
      <protection locked="0" hidden="0"/>
    </xf>
    <xf numFmtId="164" fontId="1" fillId="3" borderId="1" applyAlignment="1" applyProtection="1" pivotButton="0" quotePrefix="0" xfId="0">
      <alignment vertical="center" wrapText="1"/>
      <protection locked="0" hidden="0"/>
    </xf>
    <xf numFmtId="164" fontId="0" fillId="2" borderId="1" applyAlignment="1" applyProtection="1" pivotButton="0" quotePrefix="0" xfId="0">
      <alignment vertical="center" wrapText="1"/>
      <protection locked="0" hidden="0"/>
    </xf>
    <xf numFmtId="168" fontId="0" fillId="2" borderId="1" applyAlignment="1" applyProtection="1" pivotButton="0" quotePrefix="0" xfId="0">
      <alignment vertical="center" wrapText="1"/>
      <protection locked="0" hidden="0"/>
    </xf>
    <xf numFmtId="165" fontId="0" fillId="2" borderId="1" applyAlignment="1" applyProtection="1" pivotButton="0" quotePrefix="0" xfId="0">
      <alignment vertical="center" wrapText="1"/>
      <protection locked="0" hidden="0"/>
    </xf>
    <xf numFmtId="166" fontId="0" fillId="2" borderId="1" applyAlignment="1" applyProtection="1" pivotButton="0" quotePrefix="0" xfId="0">
      <alignment vertical="center" wrapText="1"/>
      <protection locked="0" hidden="0"/>
    </xf>
    <xf numFmtId="0" fontId="0" fillId="0" borderId="9" pivotButton="0" quotePrefix="0" xfId="0"/>
    <xf numFmtId="169" fontId="6" fillId="10" borderId="7" applyAlignment="1" pivotButton="0" quotePrefix="0" xfId="0">
      <alignment vertical="center" wrapText="1"/>
    </xf>
    <xf numFmtId="169" fontId="4" fillId="11" borderId="7" applyAlignment="1" pivotButton="0" quotePrefix="0" xfId="0">
      <alignment vertical="center" wrapText="1"/>
    </xf>
    <xf numFmtId="169" fontId="4" fillId="9" borderId="7" applyAlignment="1" pivotButton="0" quotePrefix="0" xfId="0">
      <alignment vertical="center" wrapText="1"/>
    </xf>
    <xf numFmtId="170" fontId="6" fillId="10" borderId="7" applyAlignment="1" pivotButton="0" quotePrefix="0" xfId="0">
      <alignment vertical="center" wrapText="1"/>
    </xf>
    <xf numFmtId="171" fontId="6" fillId="10" borderId="7" applyAlignment="1" pivotButton="0" quotePrefix="0" xfId="0">
      <alignment vertical="center" wrapText="1"/>
    </xf>
    <xf numFmtId="171" fontId="5" fillId="10" borderId="7" applyAlignment="1" pivotButton="0" quotePrefix="0" xfId="0">
      <alignment vertical="center" wrapText="1"/>
    </xf>
    <xf numFmtId="169" fontId="5" fillId="10" borderId="7" applyAlignment="1" pivotButton="0" quotePrefix="0" xfId="0">
      <alignment vertical="center" wrapText="1"/>
    </xf>
    <xf numFmtId="0" fontId="0" fillId="0" borderId="6" pivotButton="0" quotePrefix="0" xfId="0"/>
    <xf numFmtId="169" fontId="5" fillId="10" borderId="4" applyAlignment="1" pivotButton="0" quotePrefix="0" xfId="0">
      <alignment vertical="center" wrapText="1"/>
    </xf>
    <xf numFmtId="172" fontId="5" fillId="10" borderId="4" applyAlignment="1" pivotButton="0" quotePrefix="0" xfId="0">
      <alignment vertical="center" wrapText="1"/>
    </xf>
    <xf numFmtId="164" fontId="1" fillId="0" borderId="0" applyAlignment="1" applyProtection="1" pivotButton="0" quotePrefix="0" xfId="0">
      <alignment vertical="center" wrapText="1"/>
      <protection locked="0" hidden="0"/>
    </xf>
    <xf numFmtId="164" fontId="1" fillId="4" borderId="1" applyAlignment="1" applyProtection="1" pivotButton="0" quotePrefix="0" xfId="0">
      <alignment vertical="center" wrapText="1"/>
      <protection locked="0" hidden="0"/>
    </xf>
    <xf numFmtId="164" fontId="0" fillId="0" borderId="1" applyProtection="1" pivotButton="0" quotePrefix="0" xfId="0">
      <protection locked="0" hidden="0"/>
    </xf>
    <xf numFmtId="164" fontId="1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164" fontId="1" fillId="2" borderId="1" applyAlignment="1" applyProtection="1" pivotButton="0" quotePrefix="0" xfId="0">
      <alignment vertical="center" wrapText="1"/>
      <protection locked="0" hidden="0"/>
    </xf>
    <xf numFmtId="164" fontId="0" fillId="0" borderId="1" applyAlignment="1" applyProtection="1" pivotButton="0" quotePrefix="0" xfId="0">
      <alignment vertical="center" wrapText="1"/>
      <protection locked="0" hidden="0"/>
    </xf>
    <xf numFmtId="166" fontId="1" fillId="2" borderId="1" applyAlignment="1" applyProtection="1" pivotButton="0" quotePrefix="0" xfId="0">
      <alignment vertical="center" wrapText="1"/>
      <protection locked="0" hidden="0"/>
    </xf>
    <xf numFmtId="164" fontId="1" fillId="0" borderId="1" applyAlignment="1" applyProtection="1" pivotButton="0" quotePrefix="0" xfId="0">
      <alignment vertical="center" wrapText="1"/>
      <protection locked="0" hidden="0"/>
    </xf>
    <xf numFmtId="164" fontId="1" fillId="5" borderId="1" applyAlignment="1" applyProtection="1" pivotButton="0" quotePrefix="0" xfId="0">
      <alignment vertical="center" wrapText="1"/>
      <protection locked="0" hidden="0"/>
    </xf>
    <xf numFmtId="164" fontId="1" fillId="6" borderId="1" applyAlignment="1" applyProtection="1" pivotButton="0" quotePrefix="0" xfId="0">
      <alignment vertical="center" wrapText="1"/>
      <protection locked="0" hidden="0"/>
    </xf>
    <xf numFmtId="164" fontId="1" fillId="6" borderId="1" applyProtection="1" pivotButton="0" quotePrefix="0" xfId="0">
      <protection locked="0" hidden="0"/>
    </xf>
    <xf numFmtId="164" fontId="0" fillId="6" borderId="1" applyProtection="1" pivotButton="0" quotePrefix="0" xfId="0">
      <protection locked="0" hidden="0"/>
    </xf>
    <xf numFmtId="167" fontId="1" fillId="6" borderId="1" applyAlignment="1" applyProtection="1" pivotButton="0" quotePrefix="0" xfId="0">
      <alignment vertical="center" wrapText="1"/>
      <protection locked="0" hidden="0"/>
    </xf>
    <xf numFmtId="164" fontId="1" fillId="3" borderId="2" applyAlignment="1" applyProtection="1" pivotButton="0" quotePrefix="0" xfId="0">
      <alignment vertical="center" wrapText="1"/>
      <protection locked="0" hidden="0"/>
    </xf>
    <xf numFmtId="164" fontId="1" fillId="3" borderId="2" applyProtection="1" pivotButton="0" quotePrefix="0" xfId="0">
      <protection locked="0" hidden="0"/>
    </xf>
    <xf numFmtId="164" fontId="1" fillId="3" borderId="3" applyAlignment="1" applyProtection="1" pivotButton="0" quotePrefix="0" xfId="0">
      <alignment vertical="center" wrapText="1"/>
      <protection locked="0" hidden="0"/>
    </xf>
    <xf numFmtId="164" fontId="0" fillId="7" borderId="1" applyAlignment="1" applyProtection="1" pivotButton="0" quotePrefix="0" xfId="0">
      <alignment vertical="center" wrapText="1"/>
      <protection locked="0" hidden="0"/>
    </xf>
    <xf numFmtId="0" fontId="0" fillId="0" borderId="12" pivotButton="0" quotePrefix="0" xfId="0"/>
    <xf numFmtId="169" fontId="8" fillId="0" borderId="12" applyAlignment="1" pivotButton="0" quotePrefix="0" xfId="0">
      <alignment vertical="center" wrapText="1"/>
    </xf>
    <xf numFmtId="169" fontId="6" fillId="0" borderId="10" applyAlignment="1" pivotButton="0" quotePrefix="0" xfId="0">
      <alignment vertical="center" wrapText="1"/>
    </xf>
    <xf numFmtId="169" fontId="6" fillId="12" borderId="10" applyAlignment="1" pivotButton="0" quotePrefix="0" xfId="0">
      <alignment vertical="center" wrapText="1"/>
    </xf>
    <xf numFmtId="169" fontId="6" fillId="9" borderId="10" applyAlignment="1" pivotButton="0" quotePrefix="0" xfId="0">
      <alignment vertical="center" wrapText="1"/>
    </xf>
    <xf numFmtId="173" fontId="6" fillId="0" borderId="10" applyAlignment="1" pivotButton="0" quotePrefix="0" xfId="0">
      <alignment vertical="center" wrapText="1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s-CR"/>
              <a:t>Mensualidad y costo variable base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'Resumen de tablas'!$B$4</f>
              <strCache>
                <ptCount val="1"/>
                <pt idx="0">
                  <v>Mensualidad CRC</v>
                </pt>
              </strCache>
            </strRef>
          </tx>
          <spPr>
            <a:solidFill>
              <a:srgbClr val="203B50"/>
            </a:solidFill>
            <a:ln>
              <a:solidFill>
                <a:srgbClr val="203B50"/>
              </a:solidFill>
              <a:prstDash val="solid"/>
            </a:ln>
          </spPr>
          <invertIfNegative val="1"/>
          <cat>
            <strRef>
              <f>'Resumen de tablas'!$A$5:$A$8</f>
              <strCache>
                <ptCount val="4"/>
                <pt idx="0">
                  <v>Starter</v>
                </pt>
                <pt idx="1">
                  <v>Pro Gym</v>
                </pt>
                <pt idx="2">
                  <v>Premium</v>
                </pt>
                <pt idx="3">
                  <v>Enterprise</v>
                </pt>
              </strCache>
            </strRef>
          </cat>
          <val>
            <numRef>
              <f>'Resumen de tablas'!$B$5:$B$8</f>
              <numCache>
                <formatCode>#,##0.00</formatCode>
                <ptCount val="4"/>
                <pt idx="0">
                  <v>15000</v>
                </pt>
                <pt idx="1">
                  <v>25000</v>
                </pt>
                <pt idx="2">
                  <v>45000</v>
                </pt>
                <pt idx="3">
                  <v>70000</v>
                </pt>
              </numCache>
            </numRef>
          </val>
        </ser>
        <ser>
          <idx val="1"/>
          <order val="1"/>
          <tx>
            <strRef>
              <f>'Resumen de tablas'!$C$4</f>
              <strCache>
                <ptCount val="1"/>
                <pt idx="0">
                  <v>Variable base CRC</v>
                </pt>
              </strCache>
            </strRef>
          </tx>
          <spPr>
            <a:solidFill>
              <a:srgbClr val="287F83"/>
            </a:solidFill>
            <a:ln>
              <a:solidFill>
                <a:srgbClr val="287F83"/>
              </a:solidFill>
              <a:prstDash val="solid"/>
            </a:ln>
          </spPr>
          <invertIfNegative val="1"/>
          <cat>
            <strRef>
              <f>'Resumen de tablas'!$A$5:$A$8</f>
              <strCache>
                <ptCount val="4"/>
                <pt idx="0">
                  <v>Starter</v>
                </pt>
                <pt idx="1">
                  <v>Pro Gym</v>
                </pt>
                <pt idx="2">
                  <v>Premium</v>
                </pt>
                <pt idx="3">
                  <v>Enterprise</v>
                </pt>
              </strCache>
            </strRef>
          </cat>
          <val>
            <numRef>
              <f>'Resumen de tablas'!$C$5:$C$8</f>
              <numCache>
                <formatCode>#,##0.00</formatCode>
                <ptCount val="4"/>
                <pt idx="0">
                  <v>1216.229520833333</v>
                </pt>
                <pt idx="1">
                  <v>1485.489520833333</v>
                </pt>
                <pt idx="2">
                  <v>13193.71904166667</v>
                </pt>
                <pt idx="3">
                  <v>18885.79808333333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Plan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CRC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s-CR"/>
              <a:t>Gimnasios mínimos por plan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'Resumen de tablas'!$E$4</f>
              <strCache>
                <ptCount val="1"/>
                <pt idx="0">
                  <v>Gimnasios mínimos</v>
                </pt>
              </strCache>
            </strRef>
          </tx>
          <spPr>
            <a:solidFill>
              <a:srgbClr val="287F83"/>
            </a:solidFill>
            <a:ln>
              <a:solidFill>
                <a:srgbClr val="287F83"/>
              </a:solidFill>
              <a:prstDash val="solid"/>
            </a:ln>
          </spPr>
          <invertIfNegative val="1"/>
          <cat>
            <strRef>
              <f>'Resumen de tablas'!$A$5:$A$8</f>
              <strCache>
                <ptCount val="4"/>
                <pt idx="0">
                  <v>Starter</v>
                </pt>
                <pt idx="1">
                  <v>Pro Gym</v>
                </pt>
                <pt idx="2">
                  <v>Premium</v>
                </pt>
                <pt idx="3">
                  <v>Enterprise</v>
                </pt>
              </strCache>
            </strRef>
          </cat>
          <val>
            <numRef>
              <f>'Resumen de tablas'!$E$5:$E$8</f>
              <numCache>
                <formatCode>#,##0.00</formatCode>
                <ptCount val="4"/>
                <pt idx="0">
                  <v>9</v>
                </pt>
                <pt idx="1">
                  <v>5</v>
                </pt>
                <pt idx="2">
                  <v>4</v>
                </pt>
                <pt idx="3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Plan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Gimnasios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s-CR"/>
              <a:t>Ingresos y costos mensuales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'Resumen de tablas'!$C$35</f>
              <strCache>
                <ptCount val="1"/>
                <pt idx="0">
                  <v>Ingresos CRC</v>
                </pt>
              </strCache>
            </strRef>
          </tx>
          <spPr>
            <a:solidFill>
              <a:srgbClr val="203B50"/>
            </a:solidFill>
            <a:ln>
              <a:solidFill>
                <a:srgbClr val="203B50"/>
              </a:solidFill>
              <a:prstDash val="solid"/>
            </a:ln>
          </spPr>
          <invertIfNegative val="1"/>
          <cat>
            <numRef>
              <f>'Resumen de tablas'!$A$36:$A$47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'Resumen de tablas'!$C$36:$C$47</f>
              <numCache>
                <formatCode>#,##0.00</formatCode>
                <ptCount val="12"/>
                <pt idx="0">
                  <v>115000</v>
                </pt>
                <pt idx="1">
                  <v>140000</v>
                </pt>
                <pt idx="2">
                  <v>165000</v>
                </pt>
                <pt idx="3">
                  <v>190000</v>
                </pt>
                <pt idx="4">
                  <v>215000</v>
                </pt>
                <pt idx="5">
                  <v>215000</v>
                </pt>
                <pt idx="6">
                  <v>240000</v>
                </pt>
                <pt idx="7">
                  <v>265000</v>
                </pt>
                <pt idx="8">
                  <v>290000</v>
                </pt>
                <pt idx="9">
                  <v>290000</v>
                </pt>
                <pt idx="10">
                  <v>315000</v>
                </pt>
                <pt idx="11">
                  <v>340000</v>
                </pt>
              </numCache>
            </numRef>
          </val>
        </ser>
        <ser>
          <idx val="1"/>
          <order val="1"/>
          <tx>
            <strRef>
              <f>'Resumen de tablas'!$D$35</f>
              <strCache>
                <ptCount val="1"/>
                <pt idx="0">
                  <v>Costos totales CRC</v>
                </pt>
              </strCache>
            </strRef>
          </tx>
          <spPr>
            <a:solidFill>
              <a:srgbClr val="8294A2"/>
            </a:solidFill>
            <a:ln>
              <a:solidFill>
                <a:srgbClr val="8294A2"/>
              </a:solidFill>
              <a:prstDash val="solid"/>
            </a:ln>
          </spPr>
          <invertIfNegative val="1"/>
          <cat>
            <numRef>
              <f>'Resumen de tablas'!$A$36:$A$47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'Resumen de tablas'!$D$36:$D$47</f>
              <numCache>
                <formatCode>#,##0.00</formatCode>
                <ptCount val="12"/>
                <pt idx="0">
                  <v>480631.1789375</v>
                </pt>
                <pt idx="1">
                  <v>139452.494125</v>
                </pt>
                <pt idx="2">
                  <v>140937.9836458333</v>
                </pt>
                <pt idx="3">
                  <v>152423.4731666667</v>
                </pt>
                <pt idx="4">
                  <v>153908.9626875</v>
                </pt>
                <pt idx="5">
                  <v>153908.9626875</v>
                </pt>
                <pt idx="6">
                  <v>155394.4522083334</v>
                </pt>
                <pt idx="7">
                  <v>159379.9417291667</v>
                </pt>
                <pt idx="8">
                  <v>160865.43125</v>
                </pt>
                <pt idx="9">
                  <v>160865.43125</v>
                </pt>
                <pt idx="10">
                  <v>162350.9207708334</v>
                </pt>
                <pt idx="11">
                  <v>163836.4102916667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Mes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CRC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s-CR"/>
              <a:t>Resultado acumulado de la cartera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'Resumen de tablas'!$F$35</f>
              <strCache>
                <ptCount val="1"/>
                <pt idx="0">
                  <v>Acumulado CRC</v>
                </pt>
              </strCache>
            </strRef>
          </tx>
          <spPr>
            <a:ln>
              <a:solidFill>
                <a:srgbClr val="287F8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 de tablas'!$A$36:$A$47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'Resumen de tablas'!$F$36:$F$47</f>
              <numCache>
                <formatCode>#,##0.00</formatCode>
                <ptCount val="12"/>
                <pt idx="0">
                  <v>-365631.1789375</v>
                </pt>
                <pt idx="1">
                  <v>-365083.6730625</v>
                </pt>
                <pt idx="2">
                  <v>-341021.6567083333</v>
                </pt>
                <pt idx="3">
                  <v>-303445.129875</v>
                </pt>
                <pt idx="4">
                  <v>-242354.0925625</v>
                </pt>
                <pt idx="5">
                  <v>-181263.05525</v>
                </pt>
                <pt idx="6">
                  <v>-96657.50745833333</v>
                </pt>
                <pt idx="7">
                  <v>8962.550812500005</v>
                </pt>
                <pt idx="8">
                  <v>138097.1195625</v>
                </pt>
                <pt idx="9">
                  <v>267231.6883125</v>
                </pt>
                <pt idx="10">
                  <v>419880.7675416666</v>
                </pt>
                <pt idx="11">
                  <v>596044.3572499999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Mes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s-CR"/>
                  <a:t>CRC</a:t>
                </a:r>
              </a:p>
            </rich>
          </tx>
          <overlay val="1"/>
        </title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Pulso</author>
  </authors>
  <commentList>
    <comment ref="C5" authorId="0" shapeId="0">
      <text>
        <t>Costo por gimnasio y mes. Excluye el fijo común y los excedentes de nube, que se calculan para la cartera completa.</t>
      </text>
    </comment>
    <comment ref="E5" authorId="0" shapeId="0">
      <text>
        <t>Escenario puro: solo gimnasios de este plan. El cálculo incorpora los saltos de costo de infraestructura.</t>
      </text>
    </comment>
    <comment ref="F5" authorId="0" shapeId="0">
      <text>
        <t>Costo mensual de toda la cartera al mínimo de gimnasios de esta fila.</t>
      </text>
    </comment>
    <comment ref="G5" authorId="0" shapeId="0">
      <text>
        <t>Ingreso mensual de toda la cartera al mínimo menos su costo total.</t>
      </text>
    </comment>
    <comment ref="C6" authorId="0" shapeId="0">
      <text>
        <t>Costo por gimnasio y mes. Excluye el fijo común y los excedentes de nube, que se calculan para la cartera completa.</t>
      </text>
    </comment>
    <comment ref="E6" authorId="0" shapeId="0">
      <text>
        <t>Escenario puro: solo gimnasios de este plan. El cálculo incorpora los saltos de costo de infraestructura.</t>
      </text>
    </comment>
    <comment ref="F6" authorId="0" shapeId="0">
      <text>
        <t>Costo mensual de toda la cartera al mínimo de gimnasios de esta fila.</t>
      </text>
    </comment>
    <comment ref="G6" authorId="0" shapeId="0">
      <text>
        <t>Ingreso mensual de toda la cartera al mínimo menos su costo total.</t>
      </text>
    </comment>
    <comment ref="C7" authorId="0" shapeId="0">
      <text>
        <t>Costo por gimnasio y mes. Excluye el fijo común y los excedentes de nube, que se calculan para la cartera completa.</t>
      </text>
    </comment>
    <comment ref="E7" authorId="0" shapeId="0">
      <text>
        <t>Escenario puro: solo gimnasios de este plan. El cálculo incorpora los saltos de costo de infraestructura.</t>
      </text>
    </comment>
    <comment ref="F7" authorId="0" shapeId="0">
      <text>
        <t>Costo mensual de toda la cartera al mínimo de gimnasios de esta fila.</t>
      </text>
    </comment>
    <comment ref="G7" authorId="0" shapeId="0">
      <text>
        <t>Ingreso mensual de toda la cartera al mínimo menos su costo total.</t>
      </text>
    </comment>
    <comment ref="C8" authorId="0" shapeId="0">
      <text>
        <t>Costo por gimnasio y mes. Excluye el fijo común y los excedentes de nube, que se calculan para la cartera completa.</t>
      </text>
    </comment>
    <comment ref="E8" authorId="0" shapeId="0">
      <text>
        <t>Escenario puro: solo gimnasios de este plan. El cálculo incorpora los saltos de costo de infraestructura.</t>
      </text>
    </comment>
    <comment ref="F8" authorId="0" shapeId="0">
      <text>
        <t>Costo mensual de toda la cartera al mínimo de gimnasios de esta fila.</t>
      </text>
    </comment>
    <comment ref="G8" authorId="0" shapeId="0">
      <text>
        <t>Ingreso mensual de toda la cartera al mínimo menos su costo total.</t>
      </text>
    </comment>
    <comment ref="A49" authorId="0" shapeId="0">
      <text>
        <t>Escenario condicionado: Pulso aún sin registro. Beneficio exige inscripción tributaria en régimen general y registro micro/pequeña ante MEIC o MAG. 0% del impuesto determinado años 1–3; 25% años 4–5; 50% año 6. Primer año desde inscripción tributaria. No es tasa sobre ventas ni concede exención de otros tributos. Fuente: https://www.hacienda.go.cr/docs/BeneficiosPymes1.pdf</t>
      </text>
    </comment>
  </commentList>
</comments>
</file>

<file path=xl/comments/comment2.xml><?xml version="1.0" encoding="utf-8"?>
<comments xmlns="http://schemas.openxmlformats.org/spreadsheetml/2006/main">
  <authors>
    <author>Pulso</author>
  </authors>
  <commentList>
    <comment ref="A1" authorId="0" shapeId="0">
      <text>
        <t>CATÁLOGO · Compara costo interno y precio al cliente. Edita precios en C; mensualidades y cobros únicos se distinguen por concepto. Las conclusiones dependen de las hipótesis señaladas en Costeo; conservar separados precio, costo y cobro único.</t>
      </text>
    </comment>
    <comment ref="B5" authorId="0" shapeId="0">
      <text>
        <t>Costo interno calculado en la hoja Costeo. No confundir con el precio de venta de la columna siguiente.</t>
      </text>
    </comment>
    <comment ref="C5" authorId="0" shapeId="0">
      <text>
        <t>Word §4: precio mensual propuesto, no costo. Límite comercial sugerido; no acredita capacidad medida.</t>
      </text>
    </comment>
    <comment ref="B6" authorId="0" shapeId="0">
      <text>
        <t>Costo interno calculado en la hoja Costeo. No confundir con el precio de venta de la columna siguiente.</t>
      </text>
    </comment>
    <comment ref="C6" authorId="0" shapeId="0">
      <text>
        <t>Word §4: precio mensual propuesto, no costo. Límite comercial sugerido; no acredita capacidad medida.</t>
      </text>
    </comment>
    <comment ref="B7" authorId="0" shapeId="0">
      <text>
        <t>Costo interno calculado en la hoja Costeo. No confundir con el precio de venta de la columna siguiente.</t>
      </text>
    </comment>
    <comment ref="C7" authorId="0" shapeId="0">
      <text>
        <t>Word §4: precio mensual propuesto, no costo. Límite comercial sugerido; no acredita capacidad medida.</t>
      </text>
    </comment>
    <comment ref="B8" authorId="0" shapeId="0">
      <text>
        <t>Costo interno calculado en la hoja Costeo. No confundir con el precio de venta de la columna siguiente.</t>
      </text>
    </comment>
    <comment ref="C8" authorId="0" shapeId="0">
      <text>
        <t>Word §4: precio mensual propuesto, no costo. Límite comercial sugerido; no acredita capacidad medida.</t>
      </text>
    </comment>
    <comment ref="B9" authorId="0" shapeId="0">
      <text>
        <t>Costo interno calculado en la hoja Costeo. No confundir con el precio de venta de la columna siguiente.</t>
      </text>
    </comment>
    <comment ref="B10" authorId="0" shapeId="0">
      <text>
        <t>Costo interno calculado en la hoja Costeo. No confundir con el precio de venta de la columna siguiente.</t>
      </text>
    </comment>
    <comment ref="C10" authorId="0" shapeId="0">
      <text>
        <t>Precio proyectado = costo interno / (1 − margen objetivo de Costeo!B71), redondeado hacia arriba a ₡1 000. Es una decisión del presupuesto, no un precio publicado en el Word.</t>
      </text>
    </comment>
    <comment ref="B11" authorId="0" shapeId="0">
      <text>
        <t>Costo interno calculado en la hoja Costeo. No confundir con el precio de venta de la columna siguiente.</t>
      </text>
    </comment>
    <comment ref="B12" authorId="0" shapeId="0">
      <text>
        <t>Costo interno calculado en la hoja Costeo. No confundir con el precio de venta de la columna siguiente.</t>
      </text>
    </comment>
    <comment ref="C12" authorId="0" shapeId="0">
      <text>
        <t>Precio proyectado = costo interno / (1 − margen objetivo de Costeo!B71), redondeado hacia arriba a ₡1 000. Es una decisión del presupuesto, no un precio publicado en el Word.</t>
      </text>
    </comment>
  </commentList>
</comments>
</file>

<file path=xl/comments/comment3.xml><?xml version="1.0" encoding="utf-8"?>
<comments xmlns="http://schemas.openxmlformats.org/spreadsheetml/2006/main">
  <authors>
    <author>Pulso</author>
  </authors>
  <commentList>
    <comment ref="A7" authorId="0" shapeId="0">
      <text>
        <t>IA: 2 respuestas por miembro/mes × (4 000 tokens entrada +300 salida). Comisiones de pasarela cero por cobro directo por transferencia. No incluye pagos procesados de miembros.</t>
      </text>
    </comment>
    <comment ref="A16" authorId="0" shapeId="0">
      <text>
        <t>El recargo divide el aporte entre el costo; el margen divide entre el precio. No son utilidad neta.</t>
      </text>
    </comment>
    <comment ref="B50" authorId="0" shapeId="0">
      <text>
        <t>Referencia salarial bruta; no tarifa profesional ni costo laboral completo. Trabajo aportado por el equipo sin pago inicial. https://www.mtss.go.cr/temas-laborales/salarios/lista_salarios_minimos_2026.pdf</t>
      </text>
    </comment>
    <comment ref="C103" authorId="0" shapeId="0">
      <text>
        <t>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</text>
    </comment>
    <comment ref="A158" authorId="0" shapeId="0">
      <text>
        <t>Dominio presupuestado de escala: hasta 10 000 miembros agregados. Los tramos son decisiones conservadoras de dimensionamiento, no resultados de pruebas de rendimiento.</t>
      </text>
    </comment>
    <comment ref="A163" authorId="0" shapeId="0">
      <text>
        <t>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
Escenario condicionado: Pulso aún sin registro. Beneficio exige inscripción tributaria en régimen general y registro micro/pequeña ante MEIC o MAG. 0% del impuesto determinado años 1–3; 25% años 4–5; 50% año 6. Primer año desde inscripción tributaria. No es tasa sobre ventas ni concede exención de otros tributos. Fuente: https://www.hacienda.go.cr/docs/BeneficiosPymes1.pdf</t>
      </text>
    </comment>
  </commentList>
</comments>
</file>

<file path=xl/comments/comment4.xml><?xml version="1.0" encoding="utf-8"?>
<comments xmlns="http://schemas.openxmlformats.org/spreadsheetml/2006/main">
  <authors>
    <author>Pulso</author>
  </authors>
  <commentList>
    <comment ref="A1" authorId="0" shapeId="0">
      <text>
        <t>VENTAS · Proyecta 12 meses: gimnasios activos, altas, ingresos y costos. El resultado descuenta fijos e instalaciones; no son ventas confirmadas. Las conclusiones dependen de las hipótesis señaladas en Costeo; conservar separados precio, costo y cobro único.</t>
      </text>
    </comment>
    <comment ref="C7" authorId="0" shapeId="0">
      <text>
        <t>Gimnasios activos que pagan el mes completo. Registra por separado sus altas en las filas de instalación. Las cantidades futuras son supuestos del escenario, no ventas confirmadas.</t>
      </text>
    </comment>
    <comment ref="C8" authorId="0" shapeId="0">
      <text>
        <t>Gimnasios activos que pagan el mes completo. Registra por separado sus altas en las filas de instalación. Las cantidades futuras son supuestos del escenario, no ventas confirmadas.</t>
      </text>
    </comment>
    <comment ref="C9" authorId="0" shapeId="0">
      <text>
        <t>Gimnasios activos que pagan el mes completo. Registra por separado sus altas en las filas de instalación. Las cantidades futuras son supuestos del escenario, no ventas confirmadas.</t>
      </text>
    </comment>
    <comment ref="C10" authorId="0" shapeId="0">
      <text>
        <t>Gimnasios activos que pagan el mes completo. Registra por separado sus altas en las filas de instalación. Las cantidades futuras son supuestos del escenario, no ventas confirmadas.</t>
      </text>
    </comment>
    <comment ref="C11" authorId="0" shapeId="0">
      <text>
        <t>Número de instalaciones ejecutadas durante el mes. No repetir todos los meses una instalación ya realizada. Las básicas las asume Pulso; las avanzadas requieren precio de venta.</t>
      </text>
    </comment>
    <comment ref="B12" authorId="0" shapeId="0">
      <text>
        <t>Ingresar el precio de venta cotizado. El costo interno es 90 000 CRC de referencia, no un precio aprobado. La validación impide concluir rentabilidad si existen altas sin precio.</t>
      </text>
    </comment>
    <comment ref="C12" authorId="0" shapeId="0">
      <text>
        <t>Número de instalaciones ejecutadas durante el mes. No repetir todos los meses una instalación ya realizada. Las básicas las asume Pulso; las avanzadas requieren precio de venta.</t>
      </text>
    </comment>
    <comment ref="B14" authorId="0" shapeId="0">
      <text>
        <t>Ingresar el precio de venta cotizado. El costo interno es 90 000 CRC de referencia, no un precio aprobado. La validación impide concluir rentabilidad si existen altas sin precio.</t>
      </text>
    </comment>
    <comment ref="C14" authorId="0" shapeId="0">
      <text>
        <t>Número de instalaciones ejecutadas durante el mes. No repetir todos los meses una instalación ya realizada. Las básicas las asume Pulso; las avanzadas requieren precio de venta.</t>
      </text>
    </comment>
    <comment ref="A35" authorId="0" shapeId="0">
      <text>
        <t>Costo mensual = fijo común + excedentes de nube del mes; mes 1 agrega desarrollo común. El presupuesto cuenta el trabajo interno como costo económico aunque no se pague en efectivo.</t>
      </text>
    </comment>
    <comment ref="A37" authorId="0" shapeId="0">
      <text>
        <t>Se suman costos monetarios mensuales y anuales. No existe un costo unitario total: suscripción, instalación y operación fija tienen unidades diferentes.</t>
      </text>
    </comment>
  </commentList>
</comments>
</file>

<file path=xl/comments/comment5.xml><?xml version="1.0" encoding="utf-8"?>
<comments xmlns="http://schemas.openxmlformats.org/spreadsheetml/2006/main">
  <authors>
    <author>Pulso</author>
  </authors>
  <commentList>
    <comment ref="E9" authorId="0" shapeId="0">
      <text>
        <t>Mínimo entero que produce resultado mensual no negativo. El cálculo prueba cantidades y aplica cuotas, créditos y escalones de infraestructura del modelo; no usa sólo fijo/aporte. Hasta 10 000 miembros agregados.</t>
      </text>
    </comment>
    <comment ref="E10" authorId="0" shapeId="0">
      <text>
        <t>Mínimo entero que produce resultado mensual no negativo. El cálculo prueba cantidades y aplica cuotas, créditos y escalones de infraestructura del modelo; no usa sólo fijo/aporte. Hasta 10 000 miembros agregados.</t>
      </text>
    </comment>
    <comment ref="E11" authorId="0" shapeId="0">
      <text>
        <t>Mínimo entero que produce resultado mensual no negativo. El cálculo prueba cantidades y aplica cuotas, créditos y escalones de infraestructura del modelo; no usa sólo fijo/aporte. Hasta 10 000 miembros agregados.</t>
      </text>
    </comment>
    <comment ref="E12" authorId="0" shapeId="0">
      <text>
        <t>Mínimo entero que produce resultado mensual no negativo. El cálculo prueba cantidades y aplica cuotas, créditos y escalones de infraestructura del modelo; no usa sólo fijo/aporte. Hasta 10 000 miembros agregados.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4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79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27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menPlanes" displayName="ResumenPlanes" ref="A4:G8" headerRowCount="1">
  <autoFilter ref="A4:G8"/>
  <tableColumns count="7">
    <tableColumn id="1" name="Plan"/>
    <tableColumn id="2" name="Mensualidad CRC"/>
    <tableColumn id="3" name="Variable base CRC"/>
    <tableColumn id="4" name="Contribución CRC"/>
    <tableColumn id="5" name="Gimnasios mínimos"/>
    <tableColumn id="6" name="Costo total al mínimo CRC"/>
    <tableColumn id="7" name="Resultado al mínimo CR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menAnual" displayName="ResumenAnual" ref="A13:B24" headerRowCount="1">
  <autoFilter ref="A13:B24"/>
  <tableColumns count="2">
    <tableColumn id="1" name="Indicador"/>
    <tableColumn id="2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menInstalacion" displayName="ResumenInstalacion" ref="A28:E31" headerRowCount="1">
  <autoFilter ref="A28:E31"/>
  <tableColumns count="5">
    <tableColumn id="1" name="Servicio"/>
    <tableColumn id="2" name="Costo interno CRC"/>
    <tableColumn id="3" name="Cobro inicial CRC"/>
    <tableColumn id="4" name="Absorbe Pulso CRC"/>
    <tableColumn id="5" name="Aporte inicial CR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menMensual" displayName="ResumenMensual" ref="A35:G47" headerRowCount="1">
  <autoFilter ref="A35:G47"/>
  <tableColumns count="7">
    <tableColumn id="1" name="Mes"/>
    <tableColumn id="2" name="Gimnasios activos"/>
    <tableColumn id="3" name="Ingresos CRC"/>
    <tableColumn id="4" name="Costos totales CRC"/>
    <tableColumn id="5" name="Resultado CRC"/>
    <tableColumn id="6" name="Acumulado CRC"/>
    <tableColumn id="7" name="Mar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tss.go.cr/temas-laborales/salarios/lista_salarios_minimos_2026.pdf" TargetMode="External" Id="rId1" /><Relationship Type="http://schemas.openxmlformats.org/officeDocument/2006/relationships/hyperlink" Target="https://supabase.com/pricing" TargetMode="External" Id="rId2" /><Relationship Type="http://schemas.openxmlformats.org/officeDocument/2006/relationships/hyperlink" Target="https://supabase.com/docs/guides/platform/manage-your-usage/storage-size" TargetMode="External" Id="rId3" /><Relationship Type="http://schemas.openxmlformats.org/officeDocument/2006/relationships/hyperlink" Target="https://vercel.com/blog/introducing-flat-rate-cdn" TargetMode="External" Id="rId4" /><Relationship Type="http://schemas.openxmlformats.org/officeDocument/2006/relationships/hyperlink" Target="https://vercel.com/docs/functions/usage-and-pricing" TargetMode="External" Id="rId5" /><Relationship Type="http://schemas.openxmlformats.org/officeDocument/2006/relationships/hyperlink" Target="https://render.com/pricing" TargetMode="External" Id="rId6" /><Relationship Type="http://schemas.openxmlformats.org/officeDocument/2006/relationships/hyperlink" Target="https://render.com/docs/compute-plans" TargetMode="External" Id="rId7" /><Relationship Type="http://schemas.openxmlformats.org/officeDocument/2006/relationships/hyperlink" Target="https://aws.amazon.com/ses/pricing/" TargetMode="External" Id="rId8" /><Relationship Type="http://schemas.openxmlformats.org/officeDocument/2006/relationships/hyperlink" Target="https://developers.openai.com/api/docs/models/gpt-4.1-mini" TargetMode="External" Id="rId9" /><Relationship Type="http://schemas.openxmlformats.org/officeDocument/2006/relationships/hyperlink" Target="Modelo_costos_SaaS_GymHub_regional.docx" TargetMode="External" Id="rId10" /><Relationship Type="http://schemas.openxmlformats.org/officeDocument/2006/relationships/hyperlink" Target="Modelo_costos_SaaS_GymHub_regional.docx" TargetMode="External" Id="rId1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87F83"/>
    <outlinePr summaryBelow="1" summaryRight="1"/>
    <pageSetUpPr fitToPage="1"/>
  </sheetPr>
  <dimension ref="A1:J49"/>
  <sheetViews>
    <sheetView showGridLines="0" tabSelected="1" zoomScale="85" workbookViewId="0">
      <selection activeCell="J58" sqref="J58"/>
    </sheetView>
  </sheetViews>
  <sheetFormatPr baseColWidth="10" defaultColWidth="8.88671875" defaultRowHeight="14.4"/>
  <cols>
    <col width="39" customWidth="1" style="61" min="1" max="1"/>
    <col width="24" customWidth="1" style="61" min="2" max="5"/>
    <col width="27" customWidth="1" style="61" min="6" max="7"/>
  </cols>
  <sheetData>
    <row r="1" ht="34.05" customHeight="1" s="61">
      <c r="A1" s="62" t="inlineStr">
        <is>
          <t>PULSO | Costos y rentabilidad: compare planes y revise el resultado del escenario de 12 meses.</t>
        </is>
      </c>
    </row>
    <row r="2" ht="30" customHeight="1" s="61">
      <c r="A2" s="60" t="n"/>
      <c r="B2" s="60" t="n"/>
      <c r="C2" s="60" t="n"/>
      <c r="D2" s="60" t="n"/>
      <c r="E2" s="60" t="n"/>
      <c r="F2" s="60" t="n"/>
      <c r="G2" s="60" t="n"/>
    </row>
    <row r="3" ht="34.05" customHeight="1" s="61">
      <c r="A3" s="62" t="inlineStr">
        <is>
          <t>1. Costo mensual por gimnasio y equilibrio de cada plan</t>
        </is>
      </c>
    </row>
    <row r="4" ht="40.05" customHeight="1" s="61">
      <c r="A4" s="60" t="inlineStr">
        <is>
          <t>Plan</t>
        </is>
      </c>
      <c r="B4" s="60" t="inlineStr">
        <is>
          <t>Mensualidad CRC</t>
        </is>
      </c>
      <c r="C4" s="60" t="inlineStr">
        <is>
          <t>Variable base CRC</t>
        </is>
      </c>
      <c r="D4" s="60" t="inlineStr">
        <is>
          <t>Contribución CRC</t>
        </is>
      </c>
      <c r="E4" s="60" t="inlineStr">
        <is>
          <t>Gimnasios mínimos</t>
        </is>
      </c>
      <c r="F4" s="60" t="inlineStr">
        <is>
          <t>Costo total al mínimo CRC</t>
        </is>
      </c>
      <c r="G4" s="60" t="inlineStr">
        <is>
          <t>Resultado al mínimo CRC</t>
        </is>
      </c>
    </row>
    <row r="5" ht="30" customHeight="1" s="61">
      <c r="A5" s="78" t="str">
        <f>'Estructura de Precios'!A9</f>
        <v>Starter</v>
      </c>
      <c r="B5" s="78">
        <f>'Estructura de Precios'!B9</f>
        <v>15000</v>
      </c>
      <c r="C5" s="78">
        <f>'Estructura de Precios'!C9</f>
        <v>1216.2295208333335</v>
      </c>
      <c r="D5" s="78">
        <f>B5-C5</f>
        <v>13783.770479166666</v>
      </c>
      <c r="E5" s="58">
        <f>'Estructura de Precios'!E9</f>
        <v>9</v>
      </c>
      <c r="F5" s="78">
        <f>'Estructura de Precios'!E40</f>
        <v>125193.61035416667</v>
      </c>
      <c r="G5" s="78">
        <f>'Estructura de Precios'!E17</f>
        <v>9806.389645833318</v>
      </c>
    </row>
    <row r="6" ht="30" customHeight="1" s="61">
      <c r="A6" s="78" t="str">
        <f>'Estructura de Precios'!A10</f>
        <v>Pro Gym</v>
      </c>
      <c r="B6" s="78">
        <f>'Estructura de Precios'!B10</f>
        <v>25000</v>
      </c>
      <c r="C6" s="78">
        <f>'Estructura de Precios'!C10</f>
        <v>1485.4895208333332</v>
      </c>
      <c r="D6" s="78">
        <f>B6-C6</f>
        <v>23514.510479166667</v>
      </c>
      <c r="E6" s="58">
        <f>'Estructura de Precios'!E10</f>
        <v>5</v>
      </c>
      <c r="F6" s="78">
        <f>'Estructura de Precios'!E41</f>
        <v>121674.99227083333</v>
      </c>
      <c r="G6" s="78">
        <f>'Estructura de Precios'!E18</f>
        <v>3325.0077291666676</v>
      </c>
    </row>
    <row r="7" ht="30" customHeight="1" s="61">
      <c r="A7" s="78" t="str">
        <f>'Estructura de Precios'!A11</f>
        <v>Premium</v>
      </c>
      <c r="B7" s="78">
        <f>'Estructura de Precios'!B11</f>
        <v>45000</v>
      </c>
      <c r="C7" s="78">
        <f>'Estructura de Precios'!C11</f>
        <v>13193.719041666667</v>
      </c>
      <c r="D7" s="78">
        <f>B7-C7</f>
        <v>31806.280958333333</v>
      </c>
      <c r="E7" s="58">
        <f>'Estructura de Precios'!E11</f>
        <v>4</v>
      </c>
      <c r="F7" s="78">
        <f>'Estructura de Precios'!E42</f>
        <v>177022.42083333334</v>
      </c>
      <c r="G7" s="78">
        <f>'Estructura de Precios'!E19</f>
        <v>2977.579166666663</v>
      </c>
    </row>
    <row r="8" ht="30" customHeight="1" s="61">
      <c r="A8" s="78" t="str">
        <f>'Estructura de Precios'!A12</f>
        <v>Enterprise</v>
      </c>
      <c r="B8" s="78">
        <f>'Estructura de Precios'!B12</f>
        <v>70000</v>
      </c>
      <c r="C8" s="78">
        <f>'Estructura de Precios'!C12</f>
        <v>18885.798083333335</v>
      </c>
      <c r="D8" s="78">
        <f>B8-C8</f>
        <v>51114.201916666665</v>
      </c>
      <c r="E8" s="58">
        <f>'Estructura de Precios'!E12</f>
        <v>3</v>
      </c>
      <c r="F8" s="78">
        <f>'Estructura de Precios'!E43</f>
        <v>180904.93891666667</v>
      </c>
      <c r="G8" s="78">
        <f>'Estructura de Precios'!E20</f>
        <v>29095.06108333332</v>
      </c>
    </row>
    <row r="9" ht="42" customHeight="1" s="61">
      <c r="A9" s="60" t="inlineStr">
        <is>
          <t>Variable base: correo, IA, cobros, soporte y recursos dedicados. Contribución = mensualidad − variable base; todavía debe cubrir los costos comunes y excedentes de nube.</t>
        </is>
      </c>
      <c r="J9" t="n">
        <v>0</v>
      </c>
    </row>
    <row r="10" ht="42" customHeight="1" s="61">
      <c r="A10" s="60" t="inlineStr">
        <is>
          <t>Cada mínimo supone vender solo ese plan: cubre el fijo común completo y sus excedentes de nube. Los mínimos no se suman. No incluyen la inversión inicial ni prueban capacidad técnica.</t>
        </is>
      </c>
    </row>
    <row r="11" ht="42" customHeight="1" s="61">
      <c r="A11" s="60" t="inlineStr">
        <is>
          <t>El costo total al mínimo corresponde a todos los gimnasios de ese plan: variables + fijo común + excedentes de nube. No es un costo unitario.</t>
        </is>
      </c>
    </row>
    <row r="12" ht="34.05" customHeight="1" s="61">
      <c r="A12" s="62" t="inlineStr">
        <is>
          <t>2. Resultado anual del escenario de cartera</t>
        </is>
      </c>
    </row>
    <row r="13" ht="40.05" customHeight="1" s="61">
      <c r="A13" s="60" t="inlineStr">
        <is>
          <t>Indicador</t>
        </is>
      </c>
      <c r="B13" s="60" t="inlineStr">
        <is>
          <t>Valor</t>
        </is>
      </c>
      <c r="C13" s="60" t="n"/>
      <c r="D13" s="60" t="n"/>
      <c r="E13" s="60" t="n"/>
      <c r="F13" s="60" t="n"/>
      <c r="G13" s="60" t="n"/>
    </row>
    <row r="14" ht="30" customHeight="1" s="61">
      <c r="A14" s="60" t="inlineStr">
        <is>
          <t>Suscripciones e instalaciones cobradas</t>
        </is>
      </c>
      <c r="B14" s="78">
        <f>'PPTO Vtas Servicios'!O24</f>
        <v>2780000.0</v>
      </c>
      <c r="C14" s="60" t="n"/>
      <c r="D14" s="60" t="n"/>
      <c r="E14" s="60" t="n"/>
      <c r="F14" s="60" t="n"/>
      <c r="G14" s="60" t="n"/>
    </row>
    <row r="15" ht="30" customHeight="1" s="61">
      <c r="A15" s="60" t="inlineStr">
        <is>
          <t>Variables de servicio</t>
        </is>
      </c>
      <c r="B15" s="78">
        <f>SUM('PPTO Vtas Servicios'!O29:O32)</f>
        <v>169085.66441666664</v>
      </c>
      <c r="C15" s="60" t="n"/>
      <c r="D15" s="60" t="n"/>
      <c r="E15" s="60" t="n"/>
      <c r="F15" s="60" t="n"/>
      <c r="G15" s="60" t="n"/>
    </row>
    <row r="16" ht="30" customHeight="1" s="61">
      <c r="A16" s="60" t="inlineStr">
        <is>
          <t>Comunes anuales + campaña inicial</t>
        </is>
      </c>
      <c r="B16" s="78">
        <f>Costeo!B29</f>
        <v>1448654.3530000001</v>
      </c>
      <c r="C16" s="60" t="n"/>
      <c r="D16" s="60" t="n"/>
      <c r="E16" s="60" t="n"/>
      <c r="F16" s="60" t="n"/>
      <c r="G16" s="60" t="n"/>
    </row>
    <row r="17" ht="30" customHeight="1" s="61">
      <c r="A17" s="60" t="inlineStr">
        <is>
          <t>Excedentes y escalamiento de nube</t>
        </is>
      </c>
      <c r="B17" s="78">
        <f>SUM(Costeo!D138:D149)</f>
        <v>102500.0</v>
      </c>
      <c r="C17" s="60" t="n"/>
      <c r="D17" s="60" t="n"/>
      <c r="E17" s="60" t="n"/>
      <c r="F17" s="60" t="n"/>
      <c r="G17" s="60" t="n"/>
    </row>
    <row r="18" ht="30" customHeight="1" s="61">
      <c r="A18" s="60" t="inlineStr">
        <is>
          <t>Costo de instalaciones</t>
        </is>
      </c>
      <c r="B18" s="78">
        <f>SUM('PPTO Vtas Servicios'!O33:O34)+'PPTO Vtas Servicios'!O36</f>
        <v>264980.35733333335</v>
      </c>
      <c r="C18" s="60" t="n"/>
      <c r="D18" s="60" t="n"/>
      <c r="E18" s="60" t="n"/>
      <c r="F18" s="60" t="n"/>
      <c r="G18" s="60" t="n"/>
    </row>
    <row r="19" ht="30" customHeight="1" s="61">
      <c r="A19" s="60" t="inlineStr">
        <is>
          <t>Desarrollo inicial</t>
        </is>
      </c>
      <c r="B19" s="78">
        <f>Costeo!E90</f>
        <v>198735.26799999998</v>
      </c>
      <c r="C19" s="60" t="n"/>
      <c r="D19" s="60" t="n"/>
      <c r="E19" s="60" t="n"/>
      <c r="F19" s="60" t="n"/>
      <c r="G19" s="60" t="n"/>
    </row>
    <row r="20" ht="30" customHeight="1" s="61">
      <c r="A20" s="60" t="inlineStr">
        <is>
          <t>Costo anual total</t>
        </is>
      </c>
      <c r="B20" s="78">
        <f>SUM(B15:B19)</f>
        <v>2183955.64275</v>
      </c>
      <c r="C20" s="60" t="n"/>
      <c r="D20" s="60" t="n"/>
      <c r="E20" s="60" t="n"/>
      <c r="F20" s="60" t="n"/>
      <c r="G20" s="60" t="n"/>
    </row>
    <row r="21" ht="30" customHeight="1" s="61">
      <c r="A21" s="60" t="inlineStr">
        <is>
          <t>Resultado anual</t>
        </is>
      </c>
      <c r="B21" s="78">
        <f>B14-B20</f>
        <v>596044.3572499999</v>
      </c>
      <c r="C21" s="60" t="n"/>
      <c r="D21" s="60" t="n"/>
      <c r="E21" s="60" t="n"/>
      <c r="F21" s="60" t="n"/>
      <c r="G21" s="60" t="n"/>
    </row>
    <row r="22" ht="30" customHeight="1" s="61">
      <c r="A22" s="60" t="inlineStr">
        <is>
          <t>Margen anual</t>
        </is>
      </c>
      <c r="B22" s="59">
        <f>IFERROR(B21/B14,0)</f>
        <v>0.21440444505395678</v>
      </c>
      <c r="C22" s="60" t="n"/>
      <c r="D22" s="60" t="n"/>
      <c r="E22" s="60" t="n"/>
      <c r="F22" s="60" t="n"/>
      <c r="G22" s="60" t="n"/>
    </row>
    <row r="23" ht="30" customHeight="1" s="61">
      <c r="A23" s="60" t="inlineStr">
        <is>
          <t>Liquidez inicial mínima</t>
        </is>
      </c>
      <c r="B23" s="78">
        <f>MAX(40000,SUM('PPTO Vtas Servicios'!C37:C37)-SUM('PPTO Vtas Servicios'!C24:C24)-((16*1+24+SUM('PPTO Vtas Servicios'!C7:C7)*Costeo!$B$43+SUM('PPTO Vtas Servicios'!C8:C8)*Costeo!$C$43+SUM('PPTO Vtas Servicios'!C9:C9)*Costeo!$D$43+SUM('PPTO Vtas Servicios'!C10:C10)*Costeo!$E$43)*Costeo!$B$50+SUM('PPTO Vtas Servicios'!C33:C34)+SUM('PPTO Vtas Servicios'!C36:C36)+Costeo!$E$90),SUM('PPTO Vtas Servicios'!C37:D37)-SUM('PPTO Vtas Servicios'!C24:D24)-((16*2+24+SUM('PPTO Vtas Servicios'!C7:D7)*Costeo!$B$43+SUM('PPTO Vtas Servicios'!C8:D8)*Costeo!$C$43+SUM('PPTO Vtas Servicios'!C9:D9)*Costeo!$D$43+SUM('PPTO Vtas Servicios'!C10:D10)*Costeo!$E$43)*Costeo!$B$50+SUM('PPTO Vtas Servicios'!C33:D34)+SUM('PPTO Vtas Servicios'!C36:D36)+Costeo!$E$90),SUM('PPTO Vtas Servicios'!C37:E37)-SUM('PPTO Vtas Servicios'!C24:E24)-((16*3+24+SUM('PPTO Vtas Servicios'!C7:E7)*Costeo!$B$43+SUM('PPTO Vtas Servicios'!C8:E8)*Costeo!$C$43+SUM('PPTO Vtas Servicios'!C9:E9)*Costeo!$D$43+SUM('PPTO Vtas Servicios'!C10:E10)*Costeo!$E$43)*Costeo!$B$50+SUM('PPTO Vtas Servicios'!C33:E34)+SUM('PPTO Vtas Servicios'!C36:E36)+Costeo!$E$90),SUM('PPTO Vtas Servicios'!C37:F37)-SUM('PPTO Vtas Servicios'!C24:F24)-((16*4+24+SUM('PPTO Vtas Servicios'!C7:F7)*Costeo!$B$43+SUM('PPTO Vtas Servicios'!C8:F8)*Costeo!$C$43+SUM('PPTO Vtas Servicios'!C9:F9)*Costeo!$D$43+SUM('PPTO Vtas Servicios'!C10:F10)*Costeo!$E$43)*Costeo!$B$50+SUM('PPTO Vtas Servicios'!C33:F34)+SUM('PPTO Vtas Servicios'!C36:F36)+Costeo!$E$90),SUM('PPTO Vtas Servicios'!C37:G37)-SUM('PPTO Vtas Servicios'!C24:G24)-((16*5+24+SUM('PPTO Vtas Servicios'!C7:G7)*Costeo!$B$43+SUM('PPTO Vtas Servicios'!C8:G8)*Costeo!$C$43+SUM('PPTO Vtas Servicios'!C9:G9)*Costeo!$D$43+SUM('PPTO Vtas Servicios'!C10:G10)*Costeo!$E$43)*Costeo!$B$50+SUM('PPTO Vtas Servicios'!C33:G34)+SUM('PPTO Vtas Servicios'!C36:G36)+Costeo!$E$90),SUM('PPTO Vtas Servicios'!C37:H37)-SUM('PPTO Vtas Servicios'!C24:H24)-((16*6+24+SUM('PPTO Vtas Servicios'!C7:H7)*Costeo!$B$43+SUM('PPTO Vtas Servicios'!C8:H8)*Costeo!$C$43+SUM('PPTO Vtas Servicios'!C9:H9)*Costeo!$D$43+SUM('PPTO Vtas Servicios'!C10:H10)*Costeo!$E$43)*Costeo!$B$50+SUM('PPTO Vtas Servicios'!C33:H34)+SUM('PPTO Vtas Servicios'!C36:H36)+Costeo!$E$90),SUM('PPTO Vtas Servicios'!C37:I37)-SUM('PPTO Vtas Servicios'!C24:I24)-((16*7+24+SUM('PPTO Vtas Servicios'!C7:I7)*Costeo!$B$43+SUM('PPTO Vtas Servicios'!C8:I8)*Costeo!$C$43+SUM('PPTO Vtas Servicios'!C9:I9)*Costeo!$D$43+SUM('PPTO Vtas Servicios'!C10:I10)*Costeo!$E$43)*Costeo!$B$50+SUM('PPTO Vtas Servicios'!C33:I34)+SUM('PPTO Vtas Servicios'!C36:I36)+Costeo!$E$90),SUM('PPTO Vtas Servicios'!C37:J37)-SUM('PPTO Vtas Servicios'!C24:J24)-((16*8+24+SUM('PPTO Vtas Servicios'!C7:J7)*Costeo!$B$43+SUM('PPTO Vtas Servicios'!C8:J8)*Costeo!$C$43+SUM('PPTO Vtas Servicios'!C9:J9)*Costeo!$D$43+SUM('PPTO Vtas Servicios'!C10:J10)*Costeo!$E$43)*Costeo!$B$50+SUM('PPTO Vtas Servicios'!C33:J34)+SUM('PPTO Vtas Servicios'!C36:J36)+Costeo!$E$90),SUM('PPTO Vtas Servicios'!C37:K37)-SUM('PPTO Vtas Servicios'!C24:K24)-((16*9+24+SUM('PPTO Vtas Servicios'!C7:K7)*Costeo!$B$43+SUM('PPTO Vtas Servicios'!C8:K8)*Costeo!$C$43+SUM('PPTO Vtas Servicios'!C9:K9)*Costeo!$D$43+SUM('PPTO Vtas Servicios'!C10:K10)*Costeo!$E$43)*Costeo!$B$50+SUM('PPTO Vtas Servicios'!C33:K34)+SUM('PPTO Vtas Servicios'!C36:K36)+Costeo!$E$90),SUM('PPTO Vtas Servicios'!C37:L37)-SUM('PPTO Vtas Servicios'!C24:L24)-((16*10+24+SUM('PPTO Vtas Servicios'!C7:L7)*Costeo!$B$43+SUM('PPTO Vtas Servicios'!C8:L8)*Costeo!$C$43+SUM('PPTO Vtas Servicios'!C9:L9)*Costeo!$D$43+SUM('PPTO Vtas Servicios'!C10:L10)*Costeo!$E$43)*Costeo!$B$50+SUM('PPTO Vtas Servicios'!C33:L34)+SUM('PPTO Vtas Servicios'!C36:L36)+Costeo!$E$90),SUM('PPTO Vtas Servicios'!C37:M37)-SUM('PPTO Vtas Servicios'!C24:M24)-((16*11+24+SUM('PPTO Vtas Servicios'!C7:M7)*Costeo!$B$43+SUM('PPTO Vtas Servicios'!C8:M8)*Costeo!$C$43+SUM('PPTO Vtas Servicios'!C9:M9)*Costeo!$D$43+SUM('PPTO Vtas Servicios'!C10:M10)*Costeo!$E$43)*Costeo!$B$50+SUM('PPTO Vtas Servicios'!C33:M34)+SUM('PPTO Vtas Servicios'!C36:M36)+Costeo!$E$90),SUM('PPTO Vtas Servicios'!C37:N37)-SUM('PPTO Vtas Servicios'!C24:N24)-((16*12+24+SUM('PPTO Vtas Servicios'!C7:N7)*Costeo!$B$43+SUM('PPTO Vtas Servicios'!C8:N8)*Costeo!$C$43+SUM('PPTO Vtas Servicios'!C9:N9)*Costeo!$D$43+SUM('PPTO Vtas Servicios'!C10:N10)*Costeo!$E$43)*Costeo!$B$50+SUM('PPTO Vtas Servicios'!C33:N34)+SUM('PPTO Vtas Servicios'!C36:N36)+Costeo!$E$90))</f>
        <v>40000</v>
      </c>
      <c r="C23" s="60" t="n"/>
      <c r="D23" s="60" t="n"/>
      <c r="E23" s="60" t="n"/>
      <c r="F23" s="60" t="n"/>
      <c r="G23" s="60" t="n"/>
    </row>
    <row r="24" ht="30" customHeight="1" s="61">
      <c r="A24" s="60" t="inlineStr">
        <is>
          <t>Mes de recuperación acumulada</t>
        </is>
      </c>
      <c r="B24" s="58">
        <f>'Estructura de Precios'!B32</f>
        <v>8</v>
      </c>
      <c r="C24" s="60" t="n"/>
      <c r="D24" s="60" t="n"/>
      <c r="E24" s="60" t="n"/>
      <c r="F24" s="60" t="n"/>
      <c r="G24" s="60" t="n"/>
    </row>
    <row r="25" ht="42" customHeight="1" s="61">
      <c r="A25" s="60" t="inlineStr">
        <is>
          <t>Trabajo propio sin pago: incluido en costo económico, excluido de caja. Liquidez mínima: ₡40 000 de viáticos antes de cobrar, o déficit mensual si es mayor. Renta 0 condicionada a formalización MYPE.</t>
        </is>
      </c>
    </row>
    <row r="26" ht="30" customHeight="1" s="61">
      <c r="A26" s="60" t="n"/>
      <c r="B26" s="60" t="n"/>
      <c r="C26" s="60" t="n"/>
      <c r="D26" s="60" t="n"/>
      <c r="E26" s="60" t="n"/>
      <c r="F26" s="60" t="n"/>
      <c r="G26" s="60" t="n"/>
    </row>
    <row r="27" ht="34.05" customHeight="1" s="61">
      <c r="A27" s="62" t="inlineStr">
        <is>
          <t>3. Instalación: costo interno, cobro y recuperación</t>
        </is>
      </c>
    </row>
    <row r="28" ht="40.05" customHeight="1" s="61">
      <c r="A28" s="60" t="inlineStr">
        <is>
          <t>Servicio</t>
        </is>
      </c>
      <c r="B28" s="60" t="inlineStr">
        <is>
          <t>Costo interno CRC</t>
        </is>
      </c>
      <c r="C28" s="60" t="inlineStr">
        <is>
          <t>Cobro inicial CRC</t>
        </is>
      </c>
      <c r="D28" s="60" t="inlineStr">
        <is>
          <t>Absorbe Pulso CRC</t>
        </is>
      </c>
      <c r="E28" s="60" t="inlineStr">
        <is>
          <t>Aporte inicial CRC</t>
        </is>
      </c>
      <c r="F28" s="60" t="n"/>
      <c r="G28" s="60" t="n"/>
    </row>
    <row r="29" ht="30" customHeight="1" s="61">
      <c r="A29" s="60" t="inlineStr">
        <is>
          <t>Básica · Starter / Pro</t>
        </is>
      </c>
      <c r="B29" s="78">
        <f>Costeo!B22</f>
        <v>16561.272333333334</v>
      </c>
      <c r="C29" s="78">
        <f>Costeo!B23</f>
        <v>0</v>
      </c>
      <c r="D29" s="78">
        <f>MAX(0,B29-C29)</f>
        <v>16561.272333333334</v>
      </c>
      <c r="E29" s="78">
        <f>C29-B29</f>
        <v>-16561.272333333334</v>
      </c>
      <c r="F29" s="60" t="n"/>
      <c r="G29" s="60" t="n"/>
    </row>
    <row r="30" ht="30" customHeight="1" s="61">
      <c r="A30" s="60" t="inlineStr">
        <is>
          <t>Premium</t>
        </is>
      </c>
      <c r="B30" s="78">
        <f>Costeo!D22</f>
        <v>37262.86275</v>
      </c>
      <c r="C30" s="78">
        <f>Costeo!D23</f>
        <v>129000</v>
      </c>
      <c r="D30" s="78">
        <f>MAX(0,B30-C30)</f>
        <v>0</v>
      </c>
      <c r="E30" s="78">
        <f>C30-B30</f>
        <v>91737.13725</v>
      </c>
      <c r="F30" s="60" t="n"/>
      <c r="G30" s="60" t="n"/>
    </row>
    <row r="31" ht="30" customHeight="1" s="61">
      <c r="A31" s="60" t="inlineStr">
        <is>
          <t>Enterprise</t>
        </is>
      </c>
      <c r="B31" s="78">
        <f>Costeo!E22</f>
        <v>74525.7255</v>
      </c>
      <c r="C31" s="78">
        <f>Costeo!E23</f>
        <v>258000</v>
      </c>
      <c r="D31" s="78">
        <f>MAX(0,B31-C31)</f>
        <v>0</v>
      </c>
      <c r="E31" s="78">
        <f>C31-B31</f>
        <v>183474.2745</v>
      </c>
      <c r="F31" s="60" t="n"/>
      <c r="G31" s="60" t="n"/>
    </row>
    <row r="32" ht="42" customHeight="1" s="61">
      <c r="A32" s="60" t="inlineStr">
        <is>
          <t>Instalación básica absorbida como trabajo propio. Premium y Enterprise se cobran a ₡129 000 / ₡258 000; costos y márgenes recalculados con referencia MTSS.</t>
        </is>
      </c>
    </row>
    <row r="33" ht="30" customHeight="1" s="61">
      <c r="A33" s="60" t="n"/>
      <c r="B33" s="60" t="n"/>
      <c r="C33" s="60" t="n"/>
      <c r="D33" s="60" t="n"/>
      <c r="E33" s="60" t="n"/>
      <c r="F33" s="60" t="n"/>
      <c r="G33" s="60" t="n"/>
    </row>
    <row r="34" ht="34.05" customHeight="1" s="61">
      <c r="A34" s="62" t="inlineStr">
        <is>
          <t>4. Seguimiento mensual: ingresos, costos y recuperación</t>
        </is>
      </c>
    </row>
    <row r="35" ht="40.05" customHeight="1" s="61">
      <c r="A35" s="60" t="inlineStr">
        <is>
          <t>Mes</t>
        </is>
      </c>
      <c r="B35" s="60" t="inlineStr">
        <is>
          <t>Gimnasios activos</t>
        </is>
      </c>
      <c r="C35" s="60" t="inlineStr">
        <is>
          <t>Ingresos CRC</t>
        </is>
      </c>
      <c r="D35" s="60" t="inlineStr">
        <is>
          <t>Costos totales CRC</t>
        </is>
      </c>
      <c r="E35" s="60" t="inlineStr">
        <is>
          <t>Resultado CRC</t>
        </is>
      </c>
      <c r="F35" s="60" t="inlineStr">
        <is>
          <t>Acumulado CRC</t>
        </is>
      </c>
      <c r="G35" s="60" t="inlineStr">
        <is>
          <t>Margen</t>
        </is>
      </c>
    </row>
    <row r="36" ht="30" customHeight="1" s="61">
      <c r="A36" s="60" t="n">
        <v>1</v>
      </c>
      <c r="B36" s="58">
        <f>SUM('PPTO Vtas Servicios'!C7:C10)</f>
        <v>5.0</v>
      </c>
      <c r="C36" s="78">
        <f>'PPTO Vtas Servicios'!C24</f>
        <v>115000.0</v>
      </c>
      <c r="D36" s="78">
        <f>'PPTO Vtas Servicios'!C37</f>
        <v>480631.1789375</v>
      </c>
      <c r="E36" s="78">
        <f>C36-D36</f>
        <v>-365631.1789375</v>
      </c>
      <c r="F36" s="78">
        <f>SUM($E$36:E36)</f>
        <v>-365631.1789375</v>
      </c>
      <c r="G36" s="59">
        <f>IFERROR(E36/C36,0)</f>
        <v>-3.1794015559782607</v>
      </c>
    </row>
    <row r="37" ht="30" customHeight="1" s="61">
      <c r="A37" s="60" t="n">
        <v>2</v>
      </c>
      <c r="B37" s="58">
        <f>SUM('PPTO Vtas Servicios'!D7:D10)</f>
        <v>6.0</v>
      </c>
      <c r="C37" s="78">
        <f>'PPTO Vtas Servicios'!D24</f>
        <v>140000.0</v>
      </c>
      <c r="D37" s="78">
        <f>'PPTO Vtas Servicios'!D37</f>
        <v>139452.494125</v>
      </c>
      <c r="E37" s="78">
        <f>C37-D37</f>
        <v>547.5058750000026</v>
      </c>
      <c r="F37" s="78">
        <f>SUM($E$36:E37)</f>
        <v>-365083.67306249996</v>
      </c>
      <c r="G37" s="59">
        <f>IFERROR(E37/C37,0)</f>
        <v>0.0039107562500000186</v>
      </c>
    </row>
    <row r="38" ht="30" customHeight="1" s="61">
      <c r="A38" s="60" t="n">
        <v>3</v>
      </c>
      <c r="B38" s="58">
        <f>SUM('PPTO Vtas Servicios'!E7:E10)</f>
        <v>7.0</v>
      </c>
      <c r="C38" s="78">
        <f>'PPTO Vtas Servicios'!E24</f>
        <v>165000.0</v>
      </c>
      <c r="D38" s="78">
        <f>'PPTO Vtas Servicios'!E37</f>
        <v>140937.98364583333</v>
      </c>
      <c r="E38" s="78">
        <f>C38-D38</f>
        <v>24062.01635416667</v>
      </c>
      <c r="F38" s="78">
        <f>SUM($E$36:E38)</f>
        <v>-341021.6567083333</v>
      </c>
      <c r="G38" s="59">
        <f>IFERROR(E38/C38,0)</f>
        <v>0.14583040214646467</v>
      </c>
    </row>
    <row r="39" ht="30" customHeight="1" s="61">
      <c r="A39" s="60" t="n">
        <v>4</v>
      </c>
      <c r="B39" s="58">
        <f>SUM('PPTO Vtas Servicios'!F7:F10)</f>
        <v>8.0</v>
      </c>
      <c r="C39" s="78">
        <f>'PPTO Vtas Servicios'!F24</f>
        <v>190000.0</v>
      </c>
      <c r="D39" s="78">
        <f>'PPTO Vtas Servicios'!F37</f>
        <v>152423.4731666667</v>
      </c>
      <c r="E39" s="78">
        <f>C39-D39</f>
        <v>37576.52683333331</v>
      </c>
      <c r="F39" s="78">
        <f>SUM($E$36:E39)</f>
        <v>-303445.129875</v>
      </c>
      <c r="G39" s="59">
        <f>IFERROR(E39/C39,0)</f>
        <v>0.197771193859649</v>
      </c>
    </row>
    <row r="40" ht="30" customHeight="1" s="61">
      <c r="A40" s="60" t="n">
        <v>5</v>
      </c>
      <c r="B40" s="58">
        <f>SUM('PPTO Vtas Servicios'!G7:G10)</f>
        <v>9.0</v>
      </c>
      <c r="C40" s="78">
        <f>'PPTO Vtas Servicios'!G24</f>
        <v>215000.0</v>
      </c>
      <c r="D40" s="78">
        <f>'PPTO Vtas Servicios'!G37</f>
        <v>153908.9626875</v>
      </c>
      <c r="E40" s="78">
        <f>C40-D40</f>
        <v>61091.037312500004</v>
      </c>
      <c r="F40" s="78">
        <f>SUM($E$36:E40)</f>
        <v>-242354.09256249998</v>
      </c>
      <c r="G40" s="59">
        <f>IFERROR(E40/C40,0)</f>
        <v>0.28414435959302325</v>
      </c>
    </row>
    <row r="41" ht="30" customHeight="1" s="61">
      <c r="A41" s="60" t="n">
        <v>6</v>
      </c>
      <c r="B41" s="58">
        <f>SUM('PPTO Vtas Servicios'!H7:H10)</f>
        <v>9.0</v>
      </c>
      <c r="C41" s="78">
        <f>'PPTO Vtas Servicios'!H24</f>
        <v>215000.0</v>
      </c>
      <c r="D41" s="78">
        <f>'PPTO Vtas Servicios'!H37</f>
        <v>153908.9626875</v>
      </c>
      <c r="E41" s="78">
        <f>C41-D41</f>
        <v>61091.037312500004</v>
      </c>
      <c r="F41" s="78">
        <f>SUM($E$36:E41)</f>
        <v>-181263.05524999998</v>
      </c>
      <c r="G41" s="59">
        <f>IFERROR(E41/C41,0)</f>
        <v>0.28414435959302325</v>
      </c>
    </row>
    <row r="42" ht="30" customHeight="1" s="61">
      <c r="A42" s="60" t="n">
        <v>7</v>
      </c>
      <c r="B42" s="58">
        <f>SUM('PPTO Vtas Servicios'!I7:I10)</f>
        <v>10.0</v>
      </c>
      <c r="C42" s="78">
        <f>'PPTO Vtas Servicios'!I24</f>
        <v>240000.0</v>
      </c>
      <c r="D42" s="78">
        <f>'PPTO Vtas Servicios'!I37</f>
        <v>155394.45220833336</v>
      </c>
      <c r="E42" s="78">
        <f>C42-D42</f>
        <v>84605.54779166664</v>
      </c>
      <c r="F42" s="78">
        <f>SUM($E$36:E42)</f>
        <v>-96657.50745833333</v>
      </c>
      <c r="G42" s="59">
        <f>IFERROR(E42/C42,0)</f>
        <v>0.352523115798611</v>
      </c>
    </row>
    <row r="43" ht="30" customHeight="1" s="61">
      <c r="A43" s="60" t="n">
        <v>8</v>
      </c>
      <c r="B43" s="58">
        <f>SUM('PPTO Vtas Servicios'!J7:J10)</f>
        <v>11.0</v>
      </c>
      <c r="C43" s="78">
        <f>'PPTO Vtas Servicios'!J24</f>
        <v>265000.0</v>
      </c>
      <c r="D43" s="78">
        <f>'PPTO Vtas Servicios'!J37</f>
        <v>159379.94172916666</v>
      </c>
      <c r="E43" s="78">
        <f>C43-D43</f>
        <v>105620.05827083334</v>
      </c>
      <c r="F43" s="78">
        <f>SUM($E$36:E43)</f>
        <v>8962.550812500005</v>
      </c>
      <c r="G43" s="59">
        <f>IFERROR(E43/C43,0)</f>
        <v>0.3985662576257862</v>
      </c>
    </row>
    <row r="44" ht="30" customHeight="1" s="61">
      <c r="A44" s="60" t="n">
        <v>9</v>
      </c>
      <c r="B44" s="58">
        <f>SUM('PPTO Vtas Servicios'!K7:K10)</f>
        <v>12.0</v>
      </c>
      <c r="C44" s="78">
        <f>'PPTO Vtas Servicios'!K24</f>
        <v>290000.0</v>
      </c>
      <c r="D44" s="78">
        <f>'PPTO Vtas Servicios'!K37</f>
        <v>160865.43125000002</v>
      </c>
      <c r="E44" s="78">
        <f>C44-D44</f>
        <v>129134.56874999998</v>
      </c>
      <c r="F44" s="78">
        <f>SUM($E$36:E44)</f>
        <v>138097.11956249998</v>
      </c>
      <c r="G44" s="59">
        <f>IFERROR(E44/C44,0)</f>
        <v>0.44529161637931025</v>
      </c>
    </row>
    <row r="45" ht="30" customHeight="1" s="61">
      <c r="A45" s="60" t="n">
        <v>10</v>
      </c>
      <c r="B45" s="58">
        <f>SUM('PPTO Vtas Servicios'!L7:L10)</f>
        <v>12.0</v>
      </c>
      <c r="C45" s="78">
        <f>'PPTO Vtas Servicios'!L24</f>
        <v>290000.0</v>
      </c>
      <c r="D45" s="78">
        <f>'PPTO Vtas Servicios'!L37</f>
        <v>160865.43125000002</v>
      </c>
      <c r="E45" s="78">
        <f>C45-D45</f>
        <v>129134.56874999998</v>
      </c>
      <c r="F45" s="78">
        <f>SUM($E$36:E45)</f>
        <v>267231.68831249996</v>
      </c>
      <c r="G45" s="59">
        <f>IFERROR(E45/C45,0)</f>
        <v>0.44529161637931025</v>
      </c>
    </row>
    <row r="46" ht="30" customHeight="1" s="61">
      <c r="A46" s="60" t="n">
        <v>11</v>
      </c>
      <c r="B46" s="58">
        <f>SUM('PPTO Vtas Servicios'!M7:M10)</f>
        <v>13.0</v>
      </c>
      <c r="C46" s="78">
        <f>'PPTO Vtas Servicios'!M24</f>
        <v>315000.0</v>
      </c>
      <c r="D46" s="78">
        <f>'PPTO Vtas Servicios'!M37</f>
        <v>162350.92077083336</v>
      </c>
      <c r="E46" s="78">
        <f>C46-D46</f>
        <v>152649.07922916664</v>
      </c>
      <c r="F46" s="78">
        <f>SUM($E$36:E46)</f>
        <v>419880.76754166663</v>
      </c>
      <c r="G46" s="59">
        <f>IFERROR(E46/C46,0)</f>
        <v>0.4846002515211639</v>
      </c>
    </row>
    <row r="47" ht="30" customHeight="1" s="61">
      <c r="A47" s="60" t="n">
        <v>12</v>
      </c>
      <c r="B47" s="58">
        <f>SUM('PPTO Vtas Servicios'!N7:N10)</f>
        <v>14.0</v>
      </c>
      <c r="C47" s="78">
        <f>'PPTO Vtas Servicios'!N24</f>
        <v>340000.0</v>
      </c>
      <c r="D47" s="78">
        <f>'PPTO Vtas Servicios'!N37</f>
        <v>163836.4102916667</v>
      </c>
      <c r="E47" s="78">
        <f>C47-D47</f>
        <v>176163.5897083333</v>
      </c>
      <c r="F47" s="78">
        <f>SUM($E$36:E47)</f>
        <v>596044.3572499999</v>
      </c>
      <c r="G47" s="59">
        <f>IFERROR(E47/C47,0)</f>
        <v>0.5181282050245097</v>
      </c>
    </row>
    <row r="48" ht="42" customHeight="1" s="61">
      <c r="A48" s="60" t="inlineStr">
        <is>
          <t>Costos totales: variables por gimnasio + fijo común + nube excedente + instalaciones + desarrollo inicial (mes 1). El acumulado permite distinguir equilibrio operativo de recuperación de la inversión.</t>
        </is>
      </c>
    </row>
    <row r="49" ht="42" customHeight="1" s="61">
      <c r="A49" s="60" t="inlineStr">
        <is>
          <t>Fuentes: Costeo (MTSS, proveedores y viáticos); PPTO Vtas Servicios (cartera). Trabajo aportado sin desembolso. Renta MYPE condicionada; alcance y requisitos en notas.</t>
        </is>
      </c>
    </row>
  </sheetData>
  <mergeCells count="12">
    <mergeCell ref="A32:G32"/>
    <mergeCell ref="A1:G1"/>
    <mergeCell ref="A9:G9"/>
    <mergeCell ref="A27:G27"/>
    <mergeCell ref="A3:G3"/>
    <mergeCell ref="A34:G34"/>
    <mergeCell ref="A12:G12"/>
    <mergeCell ref="A49:G49"/>
    <mergeCell ref="A48:G48"/>
    <mergeCell ref="A25:G25"/>
    <mergeCell ref="A11:G11"/>
    <mergeCell ref="A10:G10"/>
  </mergeCells>
  <printOptions horizontalCentered="1"/>
  <pageMargins left="0.75" right="0.75" top="1" bottom="1" header="0.5" footer="0.5"/>
  <pageSetup orientation="landscape" paperSize="8" fitToHeight="0"/>
  <rowBreaks count="1" manualBreakCount="1">
    <brk id="26" min="0" max="16383" man="1"/>
  </rowBreaks>
  <legacyDrawing r:id="anysvml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87F83"/>
    <outlinePr summaryBelow="1" summaryRight="1"/>
    <pageSetUpPr fitToPage="1"/>
  </sheetPr>
  <dimension ref="A1:N51"/>
  <sheetViews>
    <sheetView showGridLines="0" zoomScale="85" workbookViewId="0">
      <selection activeCell="A1" sqref="A1:N1"/>
    </sheetView>
  </sheetViews>
  <sheetFormatPr baseColWidth="10" defaultColWidth="8.88671875" defaultRowHeight="14.4"/>
  <cols>
    <col width="13" customWidth="1" style="61" min="1" max="14"/>
  </cols>
  <sheetData>
    <row r="1" ht="22.05" customHeight="1" s="61">
      <c r="A1" s="62" t="inlineStr">
        <is>
          <t>PULSO | Lectura visual: costo por plan, equilibrio y recuperación del escenario.</t>
        </is>
      </c>
    </row>
    <row r="2" ht="22.05" customHeight="1" s="61"/>
    <row r="3" ht="22.05" customHeight="1" s="61">
      <c r="A3" s="62" t="inlineStr">
        <is>
          <t>Mensualidad vs. variable base: la diferencia debe cubrir el gasto común.</t>
        </is>
      </c>
    </row>
    <row r="4" ht="22.05" customHeight="1" s="61"/>
    <row r="5" ht="22.05" customHeight="1" s="61"/>
    <row r="6" ht="22.05" customHeight="1" s="61"/>
    <row r="7" ht="22.05" customHeight="1" s="61"/>
    <row r="8" ht="22.05" customHeight="1" s="61"/>
    <row r="9" ht="22.05" customHeight="1" s="61"/>
    <row r="10" ht="22.05" customHeight="1" s="61"/>
    <row r="11" ht="22.05" customHeight="1" s="61"/>
    <row r="12" ht="22.05" customHeight="1" s="61"/>
    <row r="13" ht="22.05" customHeight="1" s="61"/>
    <row r="14" ht="22.05" customHeight="1" s="61"/>
    <row r="15" ht="22.05" customHeight="1" s="61"/>
    <row r="16" ht="22.05" customHeight="1" s="61"/>
    <row r="17" ht="22.05" customHeight="1" s="61"/>
    <row r="18" ht="22.05" customHeight="1" s="61"/>
    <row r="19" ht="22.05" customHeight="1" s="61"/>
    <row r="20" ht="22.05" customHeight="1" s="61"/>
    <row r="21" ht="22.05" customHeight="1" s="61"/>
    <row r="22" ht="22.05" customHeight="1" s="61"/>
    <row r="23" ht="22.05" customHeight="1" s="61"/>
    <row r="24" ht="22.05" customHeight="1" s="61"/>
    <row r="25" ht="34.05" customHeight="1" s="61">
      <c r="A25" s="62" t="inlineStr">
        <is>
          <t>Equilibrio operativo: cada plan cubre el fijo completo. No incluye instalación ni desarrollo inicial.</t>
        </is>
      </c>
    </row>
    <row r="26" ht="22.05" customHeight="1" s="61"/>
    <row r="27" ht="22.05" customHeight="1" s="61"/>
    <row r="28" ht="22.05" customHeight="1" s="61"/>
    <row r="29" ht="22.05" customHeight="1" s="61"/>
    <row r="30" ht="22.05" customHeight="1" s="61"/>
    <row r="31" ht="22.05" customHeight="1" s="61"/>
    <row r="32" ht="22.05" customHeight="1" s="61"/>
    <row r="33" ht="22.05" customHeight="1" s="61"/>
    <row r="34" ht="22.05" customHeight="1" s="61"/>
    <row r="35" ht="22.05" customHeight="1" s="61"/>
    <row r="36" ht="22.05" customHeight="1" s="61"/>
    <row r="37" ht="22.05" customHeight="1" s="61"/>
    <row r="38" ht="22.05" customHeight="1" s="61"/>
    <row r="39" ht="22.05" customHeight="1" s="61"/>
    <row r="40" ht="22.05" customHeight="1" s="61"/>
    <row r="41" ht="22.05" customHeight="1" s="61"/>
    <row r="42" ht="22.05" customHeight="1" s="61"/>
    <row r="43" ht="22.05" customHeight="1" s="61"/>
    <row r="44" ht="22.05" customHeight="1" s="61"/>
    <row r="45" ht="22.05" customHeight="1" s="61"/>
    <row r="46" ht="22.05" customHeight="1" s="61"/>
    <row r="47" ht="22.05" customHeight="1" s="61"/>
    <row r="48" ht="22.05" customHeight="1" s="61"/>
    <row r="49" ht="34.05" customHeight="1" s="61">
      <c r="A49" s="62" t="inlineStr">
        <is>
          <t>Acumulado negativo = inversión aún no recuperada. Incluye instalación absorbida y desarrollo inicial.</t>
        </is>
      </c>
    </row>
    <row r="50" ht="22.05" customHeight="1" s="61"/>
    <row r="51" ht="34.05" customHeight="1" s="61">
      <c r="A51" s="62" t="inlineStr">
        <is>
          <t>Consulte Resumen de tablas para cifras exactas. Todos los gráficos se vinculan a sus fórmulas.</t>
        </is>
      </c>
    </row>
    <row r="52" ht="22.05" customHeight="1" s="61"/>
    <row r="53" ht="22.05" customHeight="1" s="61"/>
    <row r="54" ht="22.05" customHeight="1" s="61"/>
    <row r="55" ht="22.05" customHeight="1" s="61"/>
    <row r="56" ht="22.05" customHeight="1" s="61"/>
    <row r="57" ht="22.05" customHeight="1" s="61"/>
    <row r="58" ht="22.05" customHeight="1" s="61"/>
    <row r="59" ht="22.05" customHeight="1" s="61"/>
    <row r="60" ht="22.05" customHeight="1" s="61"/>
    <row r="61" ht="22.05" customHeight="1" s="61"/>
    <row r="62" ht="22.05" customHeight="1" s="61"/>
    <row r="63" ht="22.05" customHeight="1" s="61"/>
    <row r="64" ht="22.05" customHeight="1" s="61"/>
    <row r="65" ht="22.05" customHeight="1" s="61"/>
    <row r="66" ht="22.05" customHeight="1" s="61"/>
    <row r="67" ht="22.05" customHeight="1" s="61"/>
  </sheetData>
  <mergeCells count="5">
    <mergeCell ref="A3:N3"/>
    <mergeCell ref="A25:N25"/>
    <mergeCell ref="A49:N49"/>
    <mergeCell ref="A51:N51"/>
    <mergeCell ref="A1:N1"/>
  </mergeCells>
  <pageMargins left="0.75" right="0.75" top="1" bottom="1" header="0.5" footer="0.5"/>
  <pageSetup orientation="landscape" paperSize="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12"/>
  <sheetViews>
    <sheetView showGridLines="0" workbookViewId="0">
      <selection activeCell="H5" sqref="H5"/>
    </sheetView>
  </sheetViews>
  <sheetFormatPr baseColWidth="10" defaultColWidth="8.88671875" defaultRowHeight="14.4"/>
  <cols>
    <col width="36" customWidth="1" style="61" min="1" max="1"/>
    <col width="25" customWidth="1" style="61" min="2" max="2"/>
    <col width="27" customWidth="1" style="61" min="3" max="3"/>
    <col width="43" customWidth="1" style="61" min="4" max="4"/>
  </cols>
  <sheetData>
    <row r="1" ht="55.95" customHeight="1" s="61">
      <c r="A1" s="79" t="inlineStr">
        <is>
          <t>CATÁLOGO · Costos internos a referencia MTSS y precios comerciales conservados. Las instalaciones avanzadas muestran margen efectivo; no son cotizaciones nuevas.</t>
        </is>
      </c>
      <c r="B1" s="64" t="n"/>
      <c r="C1" s="64" t="n"/>
      <c r="D1" s="64" t="n"/>
    </row>
    <row r="2" ht="19.95" customHeight="1" s="61">
      <c r="A2" s="80" t="inlineStr">
        <is>
          <t>PULSO</t>
        </is>
      </c>
      <c r="B2" s="81" t="n"/>
    </row>
    <row r="3" ht="36" customHeight="1" s="61">
      <c r="A3" s="64" t="inlineStr">
        <is>
          <t>Precios editables en C; las otras hojas los referencian. Costos internos ≠ precios de venta.</t>
        </is>
      </c>
      <c r="B3" s="64" t="n"/>
    </row>
    <row r="4" ht="40.05" customHeight="1" s="61">
      <c r="A4" s="82" t="inlineStr">
        <is>
          <t>Concepto</t>
        </is>
      </c>
      <c r="B4" s="82" t="inlineStr">
        <is>
          <t>Costo interno CRC</t>
        </is>
      </c>
      <c r="C4" s="82" t="inlineStr">
        <is>
          <t>Precio de venta CRC</t>
        </is>
      </c>
      <c r="D4" s="82" t="inlineStr">
        <is>
          <t>Aplicación</t>
        </is>
      </c>
    </row>
    <row r="5" ht="54" customHeight="1" s="61">
      <c r="A5" s="83" t="inlineStr">
        <is>
          <t>Starter mensual</t>
        </is>
      </c>
      <c r="B5" s="84">
        <f>Costeo!B12</f>
        <v>1216.2295208333335</v>
      </c>
      <c r="C5" s="85" t="n">
        <v>15000</v>
      </c>
      <c r="D5" s="83" t="inlineStr">
        <is>
          <t>80 miembros, 1 sede; base compartida.</t>
        </is>
      </c>
    </row>
    <row r="6" ht="54" customHeight="1" s="61">
      <c r="A6" s="83" t="inlineStr">
        <is>
          <t>Pro Gym mensual</t>
        </is>
      </c>
      <c r="B6" s="84">
        <f>Costeo!C12</f>
        <v>1485.4895208333332</v>
      </c>
      <c r="C6" s="85" t="n">
        <v>25000</v>
      </c>
      <c r="D6" s="83" t="inlineStr">
        <is>
          <t>200 miembros, 1 sede; compartida; marca y subdominio.</t>
        </is>
      </c>
    </row>
    <row r="7" ht="54" customHeight="1" s="61">
      <c r="A7" s="83" t="inlineStr">
        <is>
          <t>Premium mensual dedicado</t>
        </is>
      </c>
      <c r="B7" s="84">
        <f>Costeo!D12</f>
        <v>13193.719041666667</v>
      </c>
      <c r="C7" s="85" t="n">
        <v>45000</v>
      </c>
      <c r="D7" s="83" t="inlineStr">
        <is>
          <t>500 miembros, 1 sede; Micro dedicado y API propia.</t>
        </is>
      </c>
    </row>
    <row r="8" ht="54" customHeight="1" s="61">
      <c r="A8" s="83" t="inlineStr">
        <is>
          <t>Enterprise mensual · 2 sedes</t>
        </is>
      </c>
      <c r="B8" s="84">
        <f>Costeo!E12</f>
        <v>18885.798083333335</v>
      </c>
      <c r="C8" s="85" t="n">
        <v>70000</v>
      </c>
      <c r="D8" s="83" t="inlineStr">
        <is>
          <t>1 000 miembros, 2 sedes; Small dedicado y 2h soporte.</t>
        </is>
      </c>
    </row>
    <row r="9" ht="48" customHeight="1" s="61">
      <c r="A9" s="83" t="inlineStr">
        <is>
          <t>Instalación básica</t>
        </is>
      </c>
      <c r="B9" s="84">
        <f>Costeo!B22</f>
        <v>16561.272333333334</v>
      </c>
      <c r="C9" s="85" t="n">
        <v>0</v>
      </c>
      <c r="D9" s="83" t="inlineStr">
        <is>
          <t>Única; la asume Pulso</t>
        </is>
      </c>
    </row>
    <row r="10" ht="48" customHeight="1" s="61">
      <c r="A10" s="83" t="inlineStr">
        <is>
          <t>Instalación premium</t>
        </is>
      </c>
      <c r="B10" s="84">
        <f>Costeo!D22</f>
        <v>37262.86275</v>
      </c>
      <c r="C10" s="86" t="n">
        <v>129000</v>
      </c>
      <c r="D10" s="83" t="inlineStr">
        <is>
          <t>18 h; precio comercial conservado; margen efectivo actualizado.</t>
        </is>
      </c>
    </row>
    <row r="11" ht="48" customHeight="1" s="61">
      <c r="A11" s="83" t="inlineStr">
        <is>
          <t>Operación fija plataforma</t>
        </is>
      </c>
      <c r="B11" s="84">
        <f>Costeo!B28</f>
        <v>114247.54466666667</v>
      </c>
      <c r="C11" s="85" t="inlineStr">
        <is>
          <t>No se vende</t>
        </is>
      </c>
      <c r="D11" s="83" t="inlineStr">
        <is>
          <t>Fijos comunes; presupuesto agrega desarrollo en mes 1.</t>
        </is>
      </c>
    </row>
    <row r="12" ht="48" customHeight="1" s="61">
      <c r="A12" s="83" t="inlineStr">
        <is>
          <t>Instalación Enterprise · 2 sedes</t>
        </is>
      </c>
      <c r="B12" s="84">
        <f>Costeo!E22</f>
        <v>74525.7255</v>
      </c>
      <c r="C12" s="86" t="n">
        <v>258000</v>
      </c>
      <c r="D12" s="83" t="inlineStr">
        <is>
          <t>36 h; incluye segunda sede; precio comercial conservado.</t>
        </is>
      </c>
    </row>
  </sheetData>
  <mergeCells count="1">
    <mergeCell ref="A1:D1"/>
  </mergeCells>
  <pageMargins left="0.75" right="0.75" top="1" bottom="1" header="0.5" footer="0.5"/>
  <pageSetup orientation="landscape" paperSize="8" fitToHeight="0"/>
  <legacyDrawing r:id="anysvml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E195"/>
  <sheetViews>
    <sheetView showGridLines="0" zoomScale="85" workbookViewId="0">
      <selection activeCell="A1" sqref="A1:E1"/>
    </sheetView>
  </sheetViews>
  <sheetFormatPr baseColWidth="10" defaultColWidth="8.88671875" defaultRowHeight="14.4"/>
  <cols>
    <col width="43" customWidth="1" style="61" min="1" max="1"/>
    <col width="22" customWidth="1" style="61" min="2" max="4"/>
    <col width="24" customWidth="1" style="61" min="5" max="5"/>
  </cols>
  <sheetData>
    <row r="1" ht="55.95" customHeight="1" s="61">
      <c r="A1" s="72" t="inlineStr">
        <is>
          <t>COSTEO · Compara costos y precios por plan. Proyección anual con proveedores Pro, alcance definido y tarifas públicas; los volúmenes son estimaciones de diseño.</t>
        </is>
      </c>
      <c r="B1" s="87" t="n"/>
      <c r="C1" s="87" t="n"/>
      <c r="D1" s="87" t="n"/>
      <c r="E1" s="87" t="n"/>
    </row>
    <row r="2" ht="36" customHeight="1" s="61">
      <c r="A2" s="69" t="inlineStr">
        <is>
          <t>CRC antes de impuestos. No se usan reservas genéricas: cada importe deriva de alcance, tarifa, horas o consumo proyectado.</t>
        </is>
      </c>
      <c r="B2" s="87" t="n"/>
      <c r="C2" s="87" t="n"/>
      <c r="D2" s="87" t="n"/>
      <c r="E2" s="87" t="n"/>
    </row>
    <row r="3" ht="30" customHeight="1" s="61">
      <c r="A3" s="72" t="inlineStr">
        <is>
          <t>1 · COSTO VARIABLE Y PRECIO | por gimnasio / mes</t>
        </is>
      </c>
      <c r="B3" s="87" t="n"/>
      <c r="C3" s="87" t="n"/>
      <c r="D3" s="87" t="n"/>
      <c r="E3" s="87" t="n"/>
    </row>
    <row r="4" ht="36" customHeight="1" s="61">
      <c r="A4" s="32" t="inlineStr">
        <is>
          <t>Concepto</t>
        </is>
      </c>
      <c r="B4" s="32" t="inlineStr">
        <is>
          <t>Starter</t>
        </is>
      </c>
      <c r="C4" s="32" t="inlineStr">
        <is>
          <t>Pro Gym</t>
        </is>
      </c>
      <c r="D4" s="32" t="inlineStr">
        <is>
          <t>Premium dedicado</t>
        </is>
      </c>
      <c r="E4" s="32" t="inlineStr">
        <is>
          <t>Enterprise · 2 sedes</t>
        </is>
      </c>
    </row>
    <row r="5" ht="36" customHeight="1" s="61">
      <c r="A5" s="33" t="inlineStr">
        <is>
          <t>Excedentes de nube asignados</t>
        </is>
      </c>
      <c r="B5" s="88">
        <f>IF($E$138&gt;0,$D$138*B36/$E$138,0)</f>
        <v>0</v>
      </c>
      <c r="C5" s="88">
        <f>IF($E$138&gt;0,$D$138*C36/$E$138,0)</f>
        <v>0</v>
      </c>
      <c r="D5" s="88">
        <f>IF($E$138&gt;0,$D$138*D36/$E$138,0)</f>
        <v>0</v>
      </c>
      <c r="E5" s="88">
        <f>IF($E$138&gt;0,$D$138*E36/$E$138,0)</f>
        <v>0</v>
      </c>
    </row>
    <row r="6" ht="30" customHeight="1" s="61">
      <c r="A6" s="33" t="inlineStr">
        <is>
          <t>Correos transaccionales</t>
        </is>
      </c>
      <c r="B6" s="88">
        <f>B125</f>
        <v>14.75</v>
      </c>
      <c r="C6" s="88">
        <f>C125</f>
        <v>34.41</v>
      </c>
      <c r="D6" s="88">
        <f>D125</f>
        <v>83.56</v>
      </c>
      <c r="E6" s="88">
        <f>E125</f>
        <v>165.48</v>
      </c>
    </row>
    <row r="7" ht="36" customHeight="1" s="61">
      <c r="A7" s="33" t="inlineStr">
        <is>
          <t>Chat IA y comisión de cobro</t>
        </is>
      </c>
      <c r="B7" s="88">
        <f>B127+B128</f>
        <v>166.4</v>
      </c>
      <c r="C7" s="88">
        <f>C127+C128</f>
        <v>416.0</v>
      </c>
      <c r="D7" s="88">
        <f>D127+D128</f>
        <v>1040.0</v>
      </c>
      <c r="E7" s="88">
        <f>E127+E128</f>
        <v>2080.0</v>
      </c>
    </row>
    <row r="8" ht="36" customHeight="1" s="61">
      <c r="A8" s="33" t="inlineStr">
        <is>
          <t>Proyecto dedicado Supabase</t>
        </is>
      </c>
      <c r="B8" s="88">
        <f>B44*$B$51</f>
        <v>0</v>
      </c>
      <c r="C8" s="88">
        <f>C44*$B$51</f>
        <v>0</v>
      </c>
      <c r="D8" s="88">
        <f>D44*$B$51</f>
        <v>5000.0</v>
      </c>
      <c r="E8" s="88">
        <f>E44*$B$51</f>
        <v>7500.0</v>
      </c>
    </row>
    <row r="9" ht="36" customHeight="1" s="61">
      <c r="A9" s="33" t="inlineStr">
        <is>
          <t>Dominio API dedicado</t>
        </is>
      </c>
      <c r="B9" s="88">
        <f>B45*$B$70*$B$51</f>
        <v>0</v>
      </c>
      <c r="C9" s="88">
        <f>C45*$B$70*$B$51</f>
        <v>0</v>
      </c>
      <c r="D9" s="88">
        <f>D45*$B$70*$B$51</f>
        <v>5000.0</v>
      </c>
      <c r="E9" s="88">
        <f>E45*$B$70*$B$51</f>
        <v>5000.0</v>
      </c>
    </row>
    <row r="10" ht="30" customHeight="1" s="61">
      <c r="A10" s="32" t="inlineStr">
        <is>
          <t>Total componentes</t>
        </is>
      </c>
      <c r="B10" s="88">
        <f>SUM(B5:B9)</f>
        <v>181.15</v>
      </c>
      <c r="C10" s="88">
        <f>SUM(C5:C9)</f>
        <v>450.40999999999997</v>
      </c>
      <c r="D10" s="88">
        <f>SUM(D5:D9)</f>
        <v>11123.56</v>
      </c>
      <c r="E10" s="88">
        <f>SUM(E5:E9)</f>
        <v>14745.48</v>
      </c>
    </row>
    <row r="11" ht="30" customHeight="1" s="61">
      <c r="A11" s="33" t="inlineStr">
        <is>
          <t>Soporte técnico mensual</t>
        </is>
      </c>
      <c r="B11" s="88">
        <f>B43*$B$50</f>
        <v>1035.0795208333334</v>
      </c>
      <c r="C11" s="88">
        <f>C43*$B$50</f>
        <v>1035.0795208333334</v>
      </c>
      <c r="D11" s="88">
        <f>D43*$B$50</f>
        <v>2070.159041666667</v>
      </c>
      <c r="E11" s="88">
        <f>E43*$B$50</f>
        <v>4140.318083333334</v>
      </c>
    </row>
    <row r="12" ht="36" customHeight="1" s="61">
      <c r="A12" s="35" t="inlineStr">
        <is>
          <t>COSTO VARIABLE UNITARIO</t>
        </is>
      </c>
      <c r="B12" s="89">
        <f>B10+B11</f>
        <v>1216.2295208333335</v>
      </c>
      <c r="C12" s="89">
        <f>C10+C11</f>
        <v>1485.4895208333332</v>
      </c>
      <c r="D12" s="89">
        <f>D10+D11</f>
        <v>13193.719041666667</v>
      </c>
      <c r="E12" s="89">
        <f>E10+E11</f>
        <v>18885.798083333335</v>
      </c>
    </row>
    <row r="13" ht="36" customHeight="1" s="61">
      <c r="A13" s="37" t="inlineStr">
        <is>
          <t>PRECIO DE SUSCRIPCIÓN</t>
        </is>
      </c>
      <c r="B13" s="90">
        <f>'PPTO Vtas Productos'!C5</f>
        <v>15000</v>
      </c>
      <c r="C13" s="90">
        <f>'PPTO Vtas Productos'!C6</f>
        <v>25000</v>
      </c>
      <c r="D13" s="90">
        <f>'PPTO Vtas Productos'!C7</f>
        <v>45000</v>
      </c>
      <c r="E13" s="90">
        <f>'PPTO Vtas Productos'!C8</f>
        <v>70000</v>
      </c>
    </row>
    <row r="14" ht="30" customHeight="1" s="61">
      <c r="A14" s="35" t="inlineStr">
        <is>
          <t>APORTE ANTES DE FIJOS</t>
        </is>
      </c>
      <c r="B14" s="89">
        <f>B13-B12</f>
        <v>13783.770479166666</v>
      </c>
      <c r="C14" s="89">
        <f>C13-C12</f>
        <v>23514.510479166667</v>
      </c>
      <c r="D14" s="89">
        <f>D13-D12</f>
        <v>31806.280958333333</v>
      </c>
      <c r="E14" s="89">
        <f>E13-E12</f>
        <v>51114.201916666665</v>
      </c>
    </row>
    <row r="15" ht="30" customHeight="1" s="61">
      <c r="A15" s="32" t="inlineStr">
        <is>
          <t>Margen: aporte / precio</t>
        </is>
      </c>
      <c r="B15" s="91">
        <f>IF(B13&gt;0,B14/B13,0)</f>
        <v>0.9189180319444443</v>
      </c>
      <c r="C15" s="91">
        <f>IF(C13&gt;0,C14/C13,0)</f>
        <v>0.9405804191666667</v>
      </c>
      <c r="D15" s="91">
        <f>IF(D13&gt;0,D14/D13,0)</f>
        <v>0.7068062435185185</v>
      </c>
      <c r="E15" s="91">
        <f>IF(E13&gt;0,E14/E13,0)</f>
        <v>0.7302028845238095</v>
      </c>
    </row>
    <row r="16" ht="30" customHeight="1" s="61">
      <c r="A16" s="32" t="inlineStr">
        <is>
          <t>Recargo: aporte / costo</t>
        </is>
      </c>
      <c r="B16" s="91">
        <f>IF(B12&gt;0,B14/B12,0)</f>
        <v>11.333198416136398</v>
      </c>
      <c r="C16" s="91">
        <f>IF(C12&gt;0,C14/C12,0)</f>
        <v>15.829469107244488</v>
      </c>
      <c r="D16" s="91">
        <f>IF(D12&gt;0,D14/D12,0)</f>
        <v>2.4107138296553776</v>
      </c>
      <c r="E16" s="91">
        <f>IF(E12&gt;0,E14/E12,0)</f>
        <v>2.7064888489819663</v>
      </c>
    </row>
    <row r="17" ht="42" customHeight="1" s="61">
      <c r="A17" s="69" t="inlineStr">
        <is>
          <t>Nube: cuotas compartidas descontadas una sola vez; asignación según miembros. Cada mes se recalcula con los gimnasios del escenario.</t>
        </is>
      </c>
      <c r="B17" s="87" t="n"/>
      <c r="C17" s="87" t="n"/>
      <c r="D17" s="87" t="n"/>
      <c r="E17" s="87" t="n"/>
    </row>
    <row r="18" ht="7.95" customHeight="1" s="61"/>
    <row r="19" ht="30" customHeight="1" s="61">
      <c r="A19" s="72" t="inlineStr">
        <is>
          <t>2 · INSTALACIÓN | costo y cobro únicos por alta</t>
        </is>
      </c>
      <c r="B19" s="87" t="n"/>
      <c r="C19" s="87" t="n"/>
      <c r="D19" s="87" t="n"/>
      <c r="E19" s="87" t="n"/>
    </row>
    <row r="20" ht="30" customHeight="1" s="61">
      <c r="A20" s="32" t="inlineStr">
        <is>
          <t>Concepto</t>
        </is>
      </c>
      <c r="B20" s="32" t="inlineStr">
        <is>
          <t>Starter</t>
        </is>
      </c>
      <c r="C20" s="32" t="inlineStr">
        <is>
          <t>Pro Gym</t>
        </is>
      </c>
      <c r="D20" s="32" t="inlineStr">
        <is>
          <t>Premium</t>
        </is>
      </c>
      <c r="E20" s="32" t="inlineStr">
        <is>
          <t>Enterprise</t>
        </is>
      </c>
    </row>
    <row r="21" ht="30" customHeight="1" s="61">
      <c r="A21" s="33" t="inlineStr">
        <is>
          <t>Horas de instalación</t>
        </is>
      </c>
      <c r="B21" s="92">
        <f>B87</f>
        <v>8.0</v>
      </c>
      <c r="C21" s="92">
        <f>B87</f>
        <v>8.0</v>
      </c>
      <c r="D21" s="92">
        <f>C87</f>
        <v>18.0</v>
      </c>
      <c r="E21" s="92">
        <f>D87</f>
        <v>36.0</v>
      </c>
    </row>
    <row r="22" ht="30" customHeight="1" s="61">
      <c r="A22" s="33" t="inlineStr">
        <is>
          <t>Costo interno de instalación</t>
        </is>
      </c>
      <c r="B22" s="88">
        <f>B21*$B$50</f>
        <v>16561.272333333334</v>
      </c>
      <c r="C22" s="88">
        <f>C21*$B$50</f>
        <v>16561.272333333334</v>
      </c>
      <c r="D22" s="88">
        <f>D21*$B$50</f>
        <v>37262.86275</v>
      </c>
      <c r="E22" s="88">
        <f>E21*$B$50</f>
        <v>74525.7255</v>
      </c>
    </row>
    <row r="23" ht="36" customHeight="1" s="61">
      <c r="A23" s="33" t="inlineStr">
        <is>
          <t>Cobro único proyectado</t>
        </is>
      </c>
      <c r="B23" s="88">
        <f>0</f>
        <v>0</v>
      </c>
      <c r="C23" s="88">
        <f>0</f>
        <v>0</v>
      </c>
      <c r="D23" s="88">
        <f>'PPTO Vtas Productos'!C10</f>
        <v>129000</v>
      </c>
      <c r="E23" s="88">
        <f>'PPTO Vtas Productos'!C12</f>
        <v>258000</v>
      </c>
    </row>
    <row r="24" ht="30" customHeight="1" s="61">
      <c r="A24" s="32" t="inlineStr">
        <is>
          <t>Costo asumido por Pulso</t>
        </is>
      </c>
      <c r="B24" s="88">
        <f>MAX(0,B22-B23)</f>
        <v>16561.272333333334</v>
      </c>
      <c r="C24" s="88">
        <f>MAX(0,C22-C23)</f>
        <v>16561.272333333334</v>
      </c>
      <c r="D24" s="88">
        <f>MAX(0,D22-D23)</f>
        <v>0</v>
      </c>
      <c r="E24" s="88">
        <f>MAX(0,E22-E23)</f>
        <v>0</v>
      </c>
    </row>
    <row r="25" ht="42" customHeight="1" s="61">
      <c r="A25" s="69" t="inlineStr">
        <is>
          <t>Básica sin cobro. Instalación avanzada: costo de horas ÷ (1 − margen objetivo), redondeado hacia arriba a ₡1 000.</t>
        </is>
      </c>
      <c r="B25" s="87" t="n"/>
      <c r="C25" s="87" t="n"/>
      <c r="D25" s="87" t="n"/>
      <c r="E25" s="87" t="n"/>
    </row>
    <row r="26" ht="7.95" customHeight="1" s="61"/>
    <row r="27" ht="30" customHeight="1" s="61">
      <c r="A27" s="72" t="inlineStr">
        <is>
          <t>3 · PLATAFORMA Y DESARROLLO | no multiplicar por gimnasio</t>
        </is>
      </c>
      <c r="B27" s="87" t="n"/>
      <c r="C27" s="87" t="n"/>
      <c r="D27" s="87" t="n"/>
      <c r="E27" s="87" t="n"/>
    </row>
    <row r="28" ht="36" customHeight="1" s="61">
      <c r="A28" s="33" t="inlineStr">
        <is>
          <t>Fijo operativo mensual</t>
        </is>
      </c>
      <c r="B28" s="88">
        <f>SUM(E94:E106)</f>
        <v>114247.54466666667</v>
      </c>
      <c r="C28" s="69" t="inlineStr">
        <is>
          <t>Incluye Redis, worker y espacio Render Pro.</t>
        </is>
      </c>
      <c r="D28" s="87" t="n"/>
      <c r="E28" s="87" t="n"/>
    </row>
    <row r="29" ht="36" customHeight="1" s="61">
      <c r="A29" s="32" t="inlineStr">
        <is>
          <t>Costo común anual + captación inicial</t>
        </is>
      </c>
      <c r="B29" s="88">
        <f>B28*12+(3*2*2000+2*4000+8000+2*2*3000-C103)+(6*3*2-2*3*2)*B50</f>
        <v>1448654.3530000001</v>
      </c>
      <c r="C29" s="69" t="inlineStr">
        <is>
          <t>Referencia de 12 meses; no sumar otra vez.</t>
        </is>
      </c>
      <c r="D29" s="87" t="n"/>
      <c r="E29" s="87" t="n"/>
    </row>
    <row r="30" ht="42" customHeight="1" s="61">
      <c r="A30" s="65" t="str">
        <f>"Desarrollo común: "&amp;TEXT(E90,"₡ #,##0")&amp;" una vez en mes 1; se incluye en costos y recuperación. Separado de las instalaciones."</f>
        <v>Desarrollo común: ₡ 198,735 una vez en mes 1; se incluye en costos y recuperación. Separado de las instalaciones.</v>
      </c>
      <c r="B30" s="87" t="n"/>
      <c r="C30" s="87" t="n"/>
      <c r="D30" s="87" t="n"/>
      <c r="E30" s="87" t="n"/>
    </row>
    <row r="31" ht="42" customHeight="1" s="61">
      <c r="A31" s="69" t="inlineStr">
        <is>
          <t>Cobro por transferencia; Pulso no procesa cuotas de miembros. Comisión de pasarela = 0 por alcance. No incluye IVA ni impuesto sobre utilidades.</t>
        </is>
      </c>
      <c r="B31" s="87" t="n"/>
      <c r="C31" s="87" t="n"/>
      <c r="D31" s="87" t="n"/>
      <c r="E31" s="87" t="n"/>
    </row>
    <row r="32" ht="7.95" customHeight="1" s="61"/>
    <row r="33" ht="7.95" customHeight="1" s="61"/>
    <row r="34" ht="30" customHeight="1" s="61">
      <c r="A34" s="68" t="inlineStr">
        <is>
          <t>ALCANCE POR PLAN | decisiones de presupuesto</t>
        </is>
      </c>
      <c r="B34" s="87" t="n"/>
      <c r="C34" s="87" t="n"/>
      <c r="D34" s="87" t="n"/>
      <c r="E34" s="87" t="n"/>
    </row>
    <row r="35" ht="30" customHeight="1" s="61">
      <c r="A35" s="41" t="inlineStr">
        <is>
          <t>Métrica</t>
        </is>
      </c>
      <c r="B35" s="41" t="inlineStr">
        <is>
          <t>Starter</t>
        </is>
      </c>
      <c r="C35" s="41" t="inlineStr">
        <is>
          <t>Pro Gym</t>
        </is>
      </c>
      <c r="D35" s="41" t="inlineStr">
        <is>
          <t>Premium</t>
        </is>
      </c>
      <c r="E35" s="41" t="inlineStr">
        <is>
          <t>Enterprise</t>
        </is>
      </c>
    </row>
    <row r="36" ht="30" customHeight="1" s="61">
      <c r="A36" s="41" t="inlineStr">
        <is>
          <t>Miembros máximos</t>
        </is>
      </c>
      <c r="B36" s="93" t="n">
        <v>80</v>
      </c>
      <c r="C36" s="93" t="n">
        <v>200</v>
      </c>
      <c r="D36" s="93" t="n">
        <v>500</v>
      </c>
      <c r="E36" s="93" t="n">
        <v>1000</v>
      </c>
    </row>
    <row r="37" ht="30" customHeight="1" s="61">
      <c r="A37" s="41" t="inlineStr">
        <is>
          <t>Sedes</t>
        </is>
      </c>
      <c r="B37" s="93" t="n">
        <v>1</v>
      </c>
      <c r="C37" s="93" t="n">
        <v>1</v>
      </c>
      <c r="D37" s="93" t="n">
        <v>1</v>
      </c>
      <c r="E37" s="93" t="n">
        <v>2</v>
      </c>
    </row>
    <row r="38" ht="30" customHeight="1" s="61">
      <c r="A38" s="41" t="inlineStr">
        <is>
          <t>Sesiones por miembro / mes</t>
        </is>
      </c>
      <c r="B38" s="93" t="n">
        <v>12</v>
      </c>
      <c r="C38" s="93" t="n">
        <v>12</v>
      </c>
      <c r="D38" s="93" t="n">
        <v>12</v>
      </c>
      <c r="E38" s="93" t="n">
        <v>12</v>
      </c>
    </row>
    <row r="39" ht="30" customHeight="1" s="61">
      <c r="A39" s="41" t="inlineStr">
        <is>
          <t>Solicitudes API por sesión</t>
        </is>
      </c>
      <c r="B39" s="93" t="n">
        <v>20</v>
      </c>
      <c r="C39" s="93" t="n">
        <v>20</v>
      </c>
      <c r="D39" s="93" t="n">
        <v>20</v>
      </c>
      <c r="E39" s="93" t="n">
        <v>20</v>
      </c>
    </row>
    <row r="40" ht="30" customHeight="1" s="61">
      <c r="A40" s="41" t="inlineStr">
        <is>
          <t>Sobrecarga administrativa</t>
        </is>
      </c>
      <c r="B40" s="43" t="n">
        <v>0.2</v>
      </c>
      <c r="C40" s="43" t="n">
        <v>0.2</v>
      </c>
      <c r="D40" s="43" t="n">
        <v>0.2</v>
      </c>
      <c r="E40" s="43" t="n">
        <v>0.2</v>
      </c>
    </row>
    <row r="41" ht="30" customHeight="1" s="61">
      <c r="A41" s="41" t="inlineStr">
        <is>
          <t>Archivos: cuota GB por gimnasio</t>
        </is>
      </c>
      <c r="B41" s="93" t="n">
        <v>1</v>
      </c>
      <c r="C41" s="93" t="n">
        <v>3</v>
      </c>
      <c r="D41" s="93" t="n">
        <v>8</v>
      </c>
      <c r="E41" s="93" t="n">
        <v>16</v>
      </c>
    </row>
    <row r="42" ht="30" customHeight="1" s="61">
      <c r="A42" s="41" t="inlineStr">
        <is>
          <t>Correos por miembro / mes</t>
        </is>
      </c>
      <c r="B42" s="93" t="n">
        <v>2</v>
      </c>
      <c r="C42" s="93" t="n">
        <v>2</v>
      </c>
      <c r="D42" s="93" t="n">
        <v>2</v>
      </c>
      <c r="E42" s="93" t="n">
        <v>2</v>
      </c>
    </row>
    <row r="43" ht="30" customHeight="1" s="61">
      <c r="A43" s="41" t="inlineStr">
        <is>
          <t>Soporte horas / mes</t>
        </is>
      </c>
      <c r="B43" s="93" t="n">
        <v>0.5</v>
      </c>
      <c r="C43" s="93" t="n">
        <v>0.5</v>
      </c>
      <c r="D43" s="93" t="n">
        <v>1</v>
      </c>
      <c r="E43" s="93" t="n">
        <v>2</v>
      </c>
    </row>
    <row r="44" ht="30" customHeight="1" s="61">
      <c r="A44" s="41" t="inlineStr">
        <is>
          <t>Proyecto dedicado USD / mes</t>
        </is>
      </c>
      <c r="B44" s="93" t="n">
        <v>0</v>
      </c>
      <c r="C44" s="93" t="n">
        <v>0</v>
      </c>
      <c r="D44" s="93" t="n">
        <v>10</v>
      </c>
      <c r="E44" s="93" t="n">
        <v>15</v>
      </c>
    </row>
    <row r="45" ht="30" customHeight="1" s="61">
      <c r="A45" s="41" t="inlineStr">
        <is>
          <t>Dominios API dedicados</t>
        </is>
      </c>
      <c r="B45" s="93" t="n">
        <v>0</v>
      </c>
      <c r="C45" s="93" t="n">
        <v>0</v>
      </c>
      <c r="D45" s="93" t="n">
        <v>1</v>
      </c>
      <c r="E45" s="93" t="n">
        <v>1</v>
      </c>
    </row>
    <row r="46" ht="30" customHeight="1" s="61">
      <c r="A46" s="41" t="inlineStr">
        <is>
          <t>Consultas IA por miembro / mes</t>
        </is>
      </c>
      <c r="B46" s="93" t="n">
        <v>2</v>
      </c>
      <c r="C46" s="93" t="n">
        <v>2</v>
      </c>
      <c r="D46" s="93" t="n">
        <v>2</v>
      </c>
      <c r="E46" s="93" t="n">
        <v>2</v>
      </c>
    </row>
    <row r="47" ht="30" customHeight="1" s="61">
      <c r="A47" s="41" t="inlineStr">
        <is>
          <t>Usuarios de personal incluidos</t>
        </is>
      </c>
      <c r="B47" s="93" t="n">
        <v>2</v>
      </c>
      <c r="C47" s="93" t="n">
        <v>5</v>
      </c>
      <c r="D47" s="93" t="n">
        <v>10</v>
      </c>
      <c r="E47" s="93" t="n">
        <v>20</v>
      </c>
    </row>
    <row r="48" ht="7.95" customHeight="1" s="61"/>
    <row r="49" ht="30" customHeight="1" s="61">
      <c r="A49" s="68" t="inlineStr">
        <is>
          <t>TARIFAS Y REGLAS | actualización de trabajo y viáticos 17/09/2026</t>
        </is>
      </c>
      <c r="B49" s="87" t="n"/>
      <c r="C49" s="87" t="n"/>
      <c r="D49" s="87" t="n"/>
      <c r="E49" s="87" t="n"/>
    </row>
    <row r="50" ht="30" customHeight="1" s="61">
      <c r="A50" s="41" t="inlineStr">
        <is>
          <t>Tarifa técnica CRC/hora</t>
        </is>
      </c>
      <c r="B50" s="93">
        <f>496838.17/30/8</f>
        <v>2070.159041666667</v>
      </c>
      <c r="C50" s="67" t="inlineStr">
        <is>
          <t>MTSS 2026: ₡496 838,17 ÷ 30 ÷ 8; valoración del trabajo propio.</t>
        </is>
      </c>
      <c r="D50" s="87" t="n"/>
      <c r="E50" s="87" t="n"/>
    </row>
    <row r="51" ht="30" customHeight="1" s="61">
      <c r="A51" s="41" t="inlineStr">
        <is>
          <t>Cambio presupuestario CRC/USD</t>
        </is>
      </c>
      <c r="B51" s="93" t="n">
        <v>500</v>
      </c>
      <c r="C51" s="67" t="inlineStr">
        <is>
          <t>Word</t>
        </is>
      </c>
      <c r="D51" s="87" t="n"/>
      <c r="E51" s="87" t="n"/>
    </row>
    <row r="52" ht="30" customHeight="1" s="61">
      <c r="A52" s="41" t="inlineStr">
        <is>
          <t>Supabase salida USD/GB</t>
        </is>
      </c>
      <c r="B52" s="93" t="n">
        <v>0.09</v>
      </c>
      <c r="C52" s="67" t="inlineStr">
        <is>
          <t>Sobre 250 GB/organización; sin caché</t>
        </is>
      </c>
      <c r="D52" s="87" t="n"/>
      <c r="E52" s="87" t="n"/>
    </row>
    <row r="53" ht="30" customHeight="1" s="61">
      <c r="A53" s="41" t="inlineStr">
        <is>
          <t>Supabase archivos USD/GB-mes</t>
        </is>
      </c>
      <c r="B53" s="93" t="n">
        <v>0.0213</v>
      </c>
      <c r="C53" s="67" t="inlineStr">
        <is>
          <t>Sobre 100 GB/organización</t>
        </is>
      </c>
      <c r="D53" s="87" t="n"/>
      <c r="E53" s="87" t="n"/>
    </row>
    <row r="54" ht="30" customHeight="1" s="61">
      <c r="A54" s="41" t="inlineStr">
        <is>
          <t>Disco Supabase USD/GB-mes</t>
        </is>
      </c>
      <c r="B54" s="93" t="n">
        <v>0.125</v>
      </c>
      <c r="C54" s="67" t="inlineStr">
        <is>
          <t>Sobre 8 GB/proyecto</t>
        </is>
      </c>
      <c r="D54" s="87" t="n"/>
      <c r="E54" s="87" t="n"/>
    </row>
    <row r="55" ht="30" customHeight="1" s="61">
      <c r="A55" s="41" t="inlineStr">
        <is>
          <t>Vercel CPU USD/hora</t>
        </is>
      </c>
      <c r="B55" s="93" t="n">
        <v>0.128</v>
      </c>
      <c r="C55" s="67" t="inlineStr">
        <is>
          <t>Región iad1; CPU activa</t>
        </is>
      </c>
      <c r="D55" s="87" t="n"/>
      <c r="E55" s="87" t="n"/>
    </row>
    <row r="56" ht="30" customHeight="1" s="61">
      <c r="A56" s="41" t="inlineStr">
        <is>
          <t>Vercel memoria USD/GB-hora</t>
        </is>
      </c>
      <c r="B56" s="93" t="n">
        <v>0.0106</v>
      </c>
      <c r="C56" s="67" t="inlineStr">
        <is>
          <t>Región iad1; sin descuento por concurrencia</t>
        </is>
      </c>
      <c r="D56" s="87" t="n"/>
      <c r="E56" s="87" t="n"/>
    </row>
    <row r="57" ht="30" customHeight="1" s="61">
      <c r="A57" s="41" t="inlineStr">
        <is>
          <t>Vercel invocaciones USD/millón</t>
        </is>
      </c>
      <c r="B57" s="93" t="n">
        <v>0.6</v>
      </c>
      <c r="C57" s="67" t="inlineStr">
        <is>
          <t>Funciones</t>
        </is>
      </c>
      <c r="D57" s="87" t="n"/>
      <c r="E57" s="87" t="n"/>
    </row>
    <row r="58" ht="30" customHeight="1" s="61">
      <c r="A58" s="41" t="inlineStr">
        <is>
          <t>Vercel crédito USD/mes</t>
        </is>
      </c>
      <c r="B58" s="93" t="n">
        <v>20</v>
      </c>
      <c r="C58" s="67" t="inlineStr">
        <is>
          <t>Una vez por equipo</t>
        </is>
      </c>
      <c r="D58" s="87" t="n"/>
      <c r="E58" s="87" t="n"/>
    </row>
    <row r="59" ht="30" customHeight="1" s="61">
      <c r="A59" s="41" t="inlineStr">
        <is>
          <t>Vercel Pro USD/mes</t>
        </is>
      </c>
      <c r="B59" s="93" t="n">
        <v>20</v>
      </c>
      <c r="C59" s="67" t="inlineStr">
        <is>
          <t>Un puesto de despliegue</t>
        </is>
      </c>
      <c r="D59" s="87" t="n"/>
      <c r="E59" s="87" t="n"/>
    </row>
    <row r="60" ht="30" customHeight="1" s="61">
      <c r="A60" s="41" t="inlineStr">
        <is>
          <t>Supabase Pro USD/mes</t>
        </is>
      </c>
      <c r="B60" s="93" t="n">
        <v>25</v>
      </c>
      <c r="C60" s="67" t="inlineStr">
        <is>
          <t>Un Micro incluido por crédito de cómputo</t>
        </is>
      </c>
      <c r="D60" s="87" t="n"/>
      <c r="E60" s="87" t="n"/>
    </row>
    <row r="61" ht="30" customHeight="1" s="61">
      <c r="A61" s="41" t="inlineStr">
        <is>
          <t>Redis compatible USD/mes</t>
        </is>
      </c>
      <c r="B61" s="93" t="n">
        <v>10</v>
      </c>
      <c r="C61" s="67" t="inlineStr">
        <is>
          <t>Render Key Value 256 MB</t>
        </is>
      </c>
      <c r="D61" s="87" t="n"/>
      <c r="E61" s="87" t="n"/>
    </row>
    <row r="62" ht="30" customHeight="1" s="61">
      <c r="A62" s="41" t="inlineStr">
        <is>
          <t>Worker Celery USD/mes</t>
        </is>
      </c>
      <c r="B62" s="93" t="n">
        <v>25</v>
      </c>
      <c r="C62" s="67" t="inlineStr">
        <is>
          <t>Render 1 CPU / 2 GB</t>
        </is>
      </c>
      <c r="D62" s="87" t="n"/>
      <c r="E62" s="87" t="n"/>
    </row>
    <row r="63" ht="30" customHeight="1" s="61">
      <c r="A63" s="41" t="inlineStr">
        <is>
          <t>Render Pro espacio USD/mes</t>
        </is>
      </c>
      <c r="B63" s="93" t="n">
        <v>25</v>
      </c>
      <c r="C63" s="67" t="inlineStr">
        <is>
          <t>Administración del equipo; cómputo aparte</t>
        </is>
      </c>
      <c r="D63" s="87" t="n"/>
      <c r="E63" s="87" t="n"/>
    </row>
    <row r="64" ht="30" customHeight="1" s="61">
      <c r="A64" s="41" t="inlineStr">
        <is>
          <t>GPT-4.1 mini entrada USD/millón</t>
        </is>
      </c>
      <c r="B64" s="93" t="n">
        <v>0.4</v>
      </c>
      <c r="C64" s="67" t="inlineStr">
        <is>
          <t>Sin descuento de caché</t>
        </is>
      </c>
      <c r="D64" s="87" t="n"/>
      <c r="E64" s="87" t="n"/>
    </row>
    <row r="65" ht="30" customHeight="1" s="61">
      <c r="A65" s="41" t="inlineStr">
        <is>
          <t>GPT-4.1 mini salida USD/millón</t>
        </is>
      </c>
      <c r="B65" s="93" t="n">
        <v>1.6</v>
      </c>
      <c r="C65" s="67" t="inlineStr">
        <is>
          <t>Texto, sin herramientas</t>
        </is>
      </c>
      <c r="D65" s="87" t="n"/>
      <c r="E65" s="87" t="n"/>
    </row>
    <row r="66" ht="30" customHeight="1" s="61">
      <c r="A66" s="41" t="inlineStr">
        <is>
          <t>SES Essentials USD/1 000</t>
        </is>
      </c>
      <c r="B66" s="93" t="n">
        <v>0.16</v>
      </c>
      <c r="C66" s="67" t="inlineStr">
        <is>
          <t>Destinatarios; sin promociones</t>
        </is>
      </c>
      <c r="D66" s="87" t="n"/>
      <c r="E66" s="87" t="n"/>
    </row>
    <row r="67" ht="30" customHeight="1" s="61">
      <c r="A67" s="41" t="inlineStr">
        <is>
          <t>SES datos USD/GB</t>
        </is>
      </c>
      <c r="B67" s="93" t="n">
        <v>0.12</v>
      </c>
      <c r="C67" s="67" t="inlineStr">
        <is>
          <t>Tamaño del mensaje presupuestado</t>
        </is>
      </c>
      <c r="D67" s="87" t="n"/>
      <c r="E67" s="87" t="n"/>
    </row>
    <row r="68" ht="30" customHeight="1" s="61">
      <c r="A68" s="41" t="inlineStr">
        <is>
          <t>Vercel origen USD/GB</t>
        </is>
      </c>
      <c r="B68" s="93" t="n">
        <v>0.06</v>
      </c>
      <c r="C68" s="67" t="inlineStr">
        <is>
          <t>Región base; separado de CDN</t>
        </is>
      </c>
      <c r="D68" s="87" t="n"/>
      <c r="E68" s="87" t="n"/>
    </row>
    <row r="69" ht="30" customHeight="1" s="61">
      <c r="A69" s="41" t="inlineStr">
        <is>
          <t>Vercel builds USD/CPU-minuto</t>
        </is>
      </c>
      <c r="B69" s="93" t="n">
        <v>0.0035</v>
      </c>
      <c r="C69" s="67" t="inlineStr">
        <is>
          <t>20 builds × 2 min × 2 CPU</t>
        </is>
      </c>
      <c r="D69" s="87" t="n"/>
      <c r="E69" s="87" t="n"/>
    </row>
    <row r="70" ht="30" customHeight="1" s="61">
      <c r="A70" s="41" t="inlineStr">
        <is>
          <t>Dominio técnico USD/mes</t>
        </is>
      </c>
      <c r="B70" s="93" t="n">
        <v>10</v>
      </c>
      <c r="C70" s="67" t="inlineStr">
        <is>
          <t>Por proyecto con adicional</t>
        </is>
      </c>
      <c r="D70" s="87" t="n"/>
      <c r="E70" s="87" t="n"/>
    </row>
    <row r="71" ht="30" customHeight="1" s="61">
      <c r="A71" s="41" t="inlineStr">
        <is>
          <t>Margen efectivo Premium</t>
        </is>
      </c>
      <c r="B71" s="43">
        <f>1-'PPTO Vtas Productos'!B10/'PPTO Vtas Productos'!C10</f>
        <v>0.7111405988372093</v>
      </c>
      <c r="C71" s="67" t="inlineStr">
        <is>
          <t>Precio comercial conservado; margen recalculado, no objetivo del 30%.</t>
        </is>
      </c>
      <c r="D71" s="87" t="n"/>
      <c r="E71" s="87" t="n"/>
    </row>
    <row r="72" ht="30" customHeight="1" s="61">
      <c r="A72" s="41" t="inlineStr">
        <is>
          <t>Tarifa pasarela sobre suscripción</t>
        </is>
      </c>
      <c r="B72" s="43" t="n">
        <v>0</v>
      </c>
      <c r="C72" s="67" t="inlineStr">
        <is>
          <t>Sin pasarela; transferencia directa</t>
        </is>
      </c>
      <c r="D72" s="87" t="n"/>
      <c r="E72" s="87" t="n"/>
    </row>
    <row r="73" ht="30" customHeight="1" s="61">
      <c r="A73" s="41" t="inlineStr">
        <is>
          <t>Cargo fijo pasarela CRC</t>
        </is>
      </c>
      <c r="B73" s="93" t="n">
        <v>0</v>
      </c>
      <c r="C73" s="67" t="inlineStr">
        <is>
          <t>Sin procesamiento de tarjetas</t>
        </is>
      </c>
      <c r="D73" s="87" t="n"/>
      <c r="E73" s="87" t="n"/>
    </row>
    <row r="74" ht="7.95" customHeight="1" s="61"/>
    <row r="75" ht="30" customHeight="1" s="61">
      <c r="A75" s="68" t="inlineStr">
        <is>
          <t>INSTALACIÓN | actividades y horas por alta</t>
        </is>
      </c>
      <c r="B75" s="87" t="n"/>
      <c r="C75" s="87" t="n"/>
      <c r="D75" s="87" t="n"/>
      <c r="E75" s="87" t="n"/>
    </row>
    <row r="76" ht="30" customHeight="1" s="61">
      <c r="A76" s="41" t="inlineStr">
        <is>
          <t>Actividad</t>
        </is>
      </c>
      <c r="B76" s="41" t="inlineStr">
        <is>
          <t>Básica h</t>
        </is>
      </c>
      <c r="C76" s="41" t="inlineStr">
        <is>
          <t>Premium h</t>
        </is>
      </c>
      <c r="D76" s="41" t="inlineStr">
        <is>
          <t>Enterprise h</t>
        </is>
      </c>
      <c r="E76" s="41" t="inlineStr">
        <is>
          <t>CRC/hora</t>
        </is>
      </c>
    </row>
    <row r="77" ht="30" customHeight="1" s="61">
      <c r="A77" s="41" t="inlineStr">
        <is>
          <t>Configuración inicial</t>
        </is>
      </c>
      <c r="B77" s="93" t="n">
        <v>2</v>
      </c>
      <c r="C77" s="93" t="n">
        <v>2</v>
      </c>
      <c r="D77" s="93" t="n">
        <v>2</v>
      </c>
      <c r="E77" s="94">
        <f>$B$50</f>
        <v>2070.159041666667</v>
      </c>
    </row>
    <row r="78" ht="30" customHeight="1" s="61">
      <c r="A78" s="41" t="inlineStr">
        <is>
          <t>Usuarios, roles y permisos</t>
        </is>
      </c>
      <c r="B78" s="93" t="n">
        <v>1</v>
      </c>
      <c r="C78" s="93" t="n">
        <v>1</v>
      </c>
      <c r="D78" s="93" t="n">
        <v>1</v>
      </c>
      <c r="E78" s="94">
        <f>$B$50</f>
        <v>2070.159041666667</v>
      </c>
    </row>
    <row r="79" ht="30" customHeight="1" s="61">
      <c r="A79" s="41" t="inlineStr">
        <is>
          <t>Logo, nombre y colores</t>
        </is>
      </c>
      <c r="B79" s="93" t="n">
        <v>2</v>
      </c>
      <c r="C79" s="93" t="n">
        <v>2</v>
      </c>
      <c r="D79" s="93" t="n">
        <v>2</v>
      </c>
      <c r="E79" s="94">
        <f>$B$50</f>
        <v>2070.159041666667</v>
      </c>
    </row>
    <row r="80" ht="30" customHeight="1" s="61">
      <c r="A80" s="41" t="inlineStr">
        <is>
          <t>Subdominio Vercel</t>
        </is>
      </c>
      <c r="B80" s="93" t="n">
        <v>1</v>
      </c>
      <c r="C80" s="93" t="n">
        <v>1</v>
      </c>
      <c r="D80" s="93" t="n">
        <v>1</v>
      </c>
      <c r="E80" s="94">
        <f>$B$50</f>
        <v>2070.159041666667</v>
      </c>
    </row>
    <row r="81" ht="30" customHeight="1" s="61">
      <c r="A81" s="41" t="inlineStr">
        <is>
          <t>Capacitación</t>
        </is>
      </c>
      <c r="B81" s="93" t="n">
        <v>2</v>
      </c>
      <c r="C81" s="93" t="n">
        <v>2</v>
      </c>
      <c r="D81" s="93" t="n">
        <v>2</v>
      </c>
      <c r="E81" s="94">
        <f>$B$50</f>
        <v>2070.159041666667</v>
      </c>
    </row>
    <row r="82" ht="30" customHeight="1" s="61">
      <c r="A82" s="41" t="inlineStr">
        <is>
          <t>Proyecto dedicado</t>
        </is>
      </c>
      <c r="B82" s="93" t="n">
        <v>0</v>
      </c>
      <c r="C82" s="93" t="n">
        <v>3</v>
      </c>
      <c r="D82" s="93" t="n">
        <v>3</v>
      </c>
      <c r="E82" s="94">
        <f>$B$50</f>
        <v>2070.159041666667</v>
      </c>
    </row>
    <row r="83" ht="30" customHeight="1" s="61">
      <c r="A83" s="41" t="inlineStr">
        <is>
          <t>Migración, pruebas y respaldo</t>
        </is>
      </c>
      <c r="B83" s="93" t="n">
        <v>0</v>
      </c>
      <c r="C83" s="93" t="n">
        <v>3</v>
      </c>
      <c r="D83" s="93" t="n">
        <v>3</v>
      </c>
      <c r="E83" s="94">
        <f>$B$50</f>
        <v>2070.159041666667</v>
      </c>
    </row>
    <row r="84" ht="30" customHeight="1" s="61">
      <c r="A84" s="41" t="inlineStr">
        <is>
          <t>API y DNS</t>
        </is>
      </c>
      <c r="B84" s="93" t="n">
        <v>0</v>
      </c>
      <c r="C84" s="93" t="n">
        <v>2</v>
      </c>
      <c r="D84" s="93" t="n">
        <v>2</v>
      </c>
      <c r="E84" s="94">
        <f>$B$50</f>
        <v>2070.159041666667</v>
      </c>
    </row>
    <row r="85" ht="30" customHeight="1" s="61">
      <c r="A85" s="41" t="inlineStr">
        <is>
          <t>Pruebas y documentación</t>
        </is>
      </c>
      <c r="B85" s="93" t="n">
        <v>0</v>
      </c>
      <c r="C85" s="93" t="n">
        <v>2</v>
      </c>
      <c r="D85" s="93" t="n">
        <v>2</v>
      </c>
      <c r="E85" s="94">
        <f>$B$50</f>
        <v>2070.159041666667</v>
      </c>
    </row>
    <row r="86" ht="55.05" customHeight="1" s="61">
      <c r="A86" s="41" t="inlineStr">
        <is>
          <t>Segunda sede: datos 6h, roles 4h, pruebas 4h, capacitación 4h</t>
        </is>
      </c>
      <c r="B86" s="93" t="n">
        <v>0</v>
      </c>
      <c r="C86" s="93" t="n">
        <v>0</v>
      </c>
      <c r="D86" s="93" t="n">
        <v>18</v>
      </c>
      <c r="E86" s="94">
        <f>$B$50</f>
        <v>2070.159041666667</v>
      </c>
    </row>
    <row r="87" ht="30" customHeight="1" s="61">
      <c r="A87" s="41" t="inlineStr">
        <is>
          <t>TOTAL HORAS</t>
        </is>
      </c>
      <c r="B87" s="93">
        <f>SUM(B77:B86)</f>
        <v>8.0</v>
      </c>
      <c r="C87" s="93">
        <f>SUM(C77:C86)</f>
        <v>18.0</v>
      </c>
      <c r="D87" s="93">
        <f>SUM(D77:D86)</f>
        <v>36.0</v>
      </c>
    </row>
    <row r="88" ht="30" customHeight="1" s="61">
      <c r="A88" s="68" t="inlineStr">
        <is>
          <t>DESARROLLO COMÚN | inversión única, presupuesto interno</t>
        </is>
      </c>
      <c r="B88" s="87" t="n"/>
      <c r="C88" s="87" t="n"/>
      <c r="D88" s="87" t="n"/>
      <c r="E88" s="87" t="n"/>
    </row>
    <row r="89" ht="30" customHeight="1" s="61">
      <c r="A89" s="41" t="inlineStr">
        <is>
          <t>Actividad</t>
        </is>
      </c>
      <c r="B89" s="41" t="inlineStr">
        <is>
          <t>Horas</t>
        </is>
      </c>
      <c r="C89" s="41" t="inlineStr">
        <is>
          <t>CRC/hora</t>
        </is>
      </c>
      <c r="D89" s="41" t="inlineStr">
        <is>
          <t>Origen</t>
        </is>
      </c>
      <c r="E89" s="41" t="inlineStr">
        <is>
          <t>Costo CRC</t>
        </is>
      </c>
    </row>
    <row r="90" ht="30" customHeight="1" s="61">
      <c r="A90" s="41" t="inlineStr">
        <is>
          <t>Desarrollo: trabajo aportado, no efectivo</t>
        </is>
      </c>
      <c r="B90" s="93">
        <f>SUM(B175:B180)</f>
        <v>96.0</v>
      </c>
      <c r="C90" s="94">
        <f>$B$50</f>
        <v>2070.159041666667</v>
      </c>
      <c r="D90" s="41" t="inlineStr">
        <is>
          <t>Horas estimadas internas</t>
        </is>
      </c>
      <c r="E90" s="94">
        <f>SUM(E175:E180)</f>
        <v>198735.26799999998</v>
      </c>
    </row>
    <row r="91" ht="7.95" customHeight="1" s="61"/>
    <row r="92" ht="30" customHeight="1" s="61">
      <c r="A92" s="68" t="inlineStr">
        <is>
          <t>COSTOS COMUNES | proveedores, viáticos y trabajo aportado</t>
        </is>
      </c>
      <c r="B92" s="87" t="n"/>
      <c r="C92" s="87" t="n"/>
      <c r="D92" s="87" t="n"/>
      <c r="E92" s="87" t="n"/>
    </row>
    <row r="93" ht="30" customHeight="1" s="61">
      <c r="A93" s="41" t="inlineStr">
        <is>
          <t>Componente</t>
        </is>
      </c>
      <c r="B93" s="41" t="inlineStr">
        <is>
          <t>Cantidad</t>
        </is>
      </c>
      <c r="C93" s="41" t="inlineStr">
        <is>
          <t>Tarifa origen</t>
        </is>
      </c>
      <c r="D93" s="41" t="inlineStr">
        <is>
          <t>Unidad</t>
        </is>
      </c>
      <c r="E93" s="41" t="inlineStr">
        <is>
          <t>CRC/mes</t>
        </is>
      </c>
    </row>
    <row r="94" ht="30" customHeight="1" s="61">
      <c r="A94" s="41" t="inlineStr">
        <is>
          <t>Vercel Pro: frontend + Django</t>
        </is>
      </c>
      <c r="B94" s="93" t="n">
        <v>1</v>
      </c>
      <c r="C94" s="93">
        <f>$B$59</f>
        <v>20</v>
      </c>
      <c r="D94" s="41" t="inlineStr">
        <is>
          <t>USD/mes</t>
        </is>
      </c>
      <c r="E94" s="94">
        <f>B94*C94*$B$51</f>
        <v>10000.0</v>
      </c>
    </row>
    <row r="95" ht="30" customHeight="1" s="61">
      <c r="A95" s="41" t="inlineStr">
        <is>
          <t>Supabase Pro central</t>
        </is>
      </c>
      <c r="B95" s="93" t="n">
        <v>1</v>
      </c>
      <c r="C95" s="93">
        <f>$B$60</f>
        <v>25</v>
      </c>
      <c r="D95" s="41" t="inlineStr">
        <is>
          <t>USD/mes</t>
        </is>
      </c>
      <c r="E95" s="94">
        <f>B95*C95*$B$51</f>
        <v>12500.0</v>
      </c>
    </row>
    <row r="96" ht="30" customHeight="1" s="61">
      <c r="A96" s="41" t="inlineStr">
        <is>
          <t>Dominio API central</t>
        </is>
      </c>
      <c r="B96" s="93" t="n">
        <v>1</v>
      </c>
      <c r="C96" s="93">
        <f>$B$70</f>
        <v>10</v>
      </c>
      <c r="D96" s="41" t="inlineStr">
        <is>
          <t>USD/mes</t>
        </is>
      </c>
      <c r="E96" s="94">
        <f>B96*C96*$B$51</f>
        <v>5000.0</v>
      </c>
    </row>
    <row r="97" ht="30" customHeight="1" s="61">
      <c r="A97" s="41" t="inlineStr">
        <is>
          <t>Dominio registrado anual</t>
        </is>
      </c>
      <c r="B97" s="93" t="n">
        <v>1</v>
      </c>
      <c r="C97" s="93" t="n">
        <v>15</v>
      </c>
      <c r="D97" s="41" t="inlineStr">
        <is>
          <t>USD/año</t>
        </is>
      </c>
      <c r="E97" s="94">
        <f>B97*C97*$B$51/12</f>
        <v>625.0</v>
      </c>
    </row>
    <row r="98" ht="30" customHeight="1" s="61">
      <c r="A98" s="41" t="inlineStr">
        <is>
          <t>SSL incluido</t>
        </is>
      </c>
      <c r="B98" s="93" t="n">
        <v>1</v>
      </c>
      <c r="C98" s="93" t="n">
        <v>0</v>
      </c>
      <c r="D98" s="41" t="inlineStr">
        <is>
          <t>CRC</t>
        </is>
      </c>
      <c r="E98" s="94">
        <f>B98*C98</f>
        <v>0</v>
      </c>
    </row>
    <row r="99" ht="30" customHeight="1" s="61">
      <c r="A99" s="41" t="inlineStr">
        <is>
          <t>Correo empresarial Workspace</t>
        </is>
      </c>
      <c r="B99" s="93" t="n">
        <v>1</v>
      </c>
      <c r="C99" s="93" t="n">
        <v>7</v>
      </c>
      <c r="D99" s="41" t="inlineStr">
        <is>
          <t>USD/mes</t>
        </is>
      </c>
      <c r="E99" s="94">
        <f>B99*C99*$B$51</f>
        <v>3500.0</v>
      </c>
    </row>
    <row r="100" ht="30" customHeight="1" s="61">
      <c r="A100" s="41" t="inlineStr">
        <is>
          <t>Diseño: presupuesto aprobado</t>
        </is>
      </c>
      <c r="B100" s="93" t="n">
        <v>1</v>
      </c>
      <c r="C100" s="93" t="n">
        <v>5</v>
      </c>
      <c r="D100" s="41" t="inlineStr">
        <is>
          <t>USD/mes</t>
        </is>
      </c>
      <c r="E100" s="94">
        <f>B100*C100*$B$51</f>
        <v>2500.0</v>
      </c>
    </row>
    <row r="101" ht="30" customHeight="1" s="61">
      <c r="A101" s="41" t="inlineStr">
        <is>
          <t>Mantenimiento + gestión comercial</t>
        </is>
      </c>
      <c r="B101" s="93">
        <f>4+2*3*2</f>
        <v>16.0</v>
      </c>
      <c r="C101" s="93">
        <f>$B$50</f>
        <v>2070.159041666667</v>
      </c>
      <c r="D101" s="41" t="inlineStr">
        <is>
          <t>CRC/hora</t>
        </is>
      </c>
      <c r="E101" s="94">
        <f>B101*C101</f>
        <v>33122.54466666667</v>
      </c>
    </row>
    <row r="102" ht="30" customHeight="1" s="61">
      <c r="A102" s="41" t="inlineStr">
        <is>
          <t>Publicidad: aprobado</t>
        </is>
      </c>
      <c r="B102" s="93" t="n">
        <v>1</v>
      </c>
      <c r="C102" s="93" t="n">
        <v>5000</v>
      </c>
      <c r="D102" s="41" t="inlineStr">
        <is>
          <t>CRC/mes</t>
        </is>
      </c>
      <c r="E102" s="94">
        <f>B102*C102</f>
        <v>5000.0</v>
      </c>
    </row>
    <row r="103" ht="30" customHeight="1" s="61">
      <c r="A103" s="41" t="inlineStr">
        <is>
          <t>Viáticos recurrentes</t>
        </is>
      </c>
      <c r="B103" s="93" t="n">
        <v>1</v>
      </c>
      <c r="C103" s="93">
        <f>2*2*2000+4000</f>
        <v>12000.0</v>
      </c>
      <c r="D103" s="41" t="inlineStr">
        <is>
          <t>CRC/mes</t>
        </is>
      </c>
      <c r="E103" s="94">
        <f>B103*C103</f>
        <v>12000.0</v>
      </c>
    </row>
    <row r="104" ht="30" customHeight="1" s="61">
      <c r="A104" s="41" t="inlineStr">
        <is>
          <t>Render Key Value 256 MB</t>
        </is>
      </c>
      <c r="B104" s="93" t="n">
        <v>1</v>
      </c>
      <c r="C104" s="93">
        <f>$B$61</f>
        <v>10</v>
      </c>
      <c r="D104" s="41" t="inlineStr">
        <is>
          <t>USD/mes</t>
        </is>
      </c>
      <c r="E104" s="94">
        <f>B104*C104*$B$51</f>
        <v>5000.0</v>
      </c>
    </row>
    <row r="105" ht="30" customHeight="1" s="61">
      <c r="A105" s="41" t="inlineStr">
        <is>
          <t>Render worker 1 CPU / 2 GB</t>
        </is>
      </c>
      <c r="B105" s="93" t="n">
        <v>1</v>
      </c>
      <c r="C105" s="93">
        <f>$B$62</f>
        <v>25</v>
      </c>
      <c r="D105" s="41" t="inlineStr">
        <is>
          <t>USD/mes</t>
        </is>
      </c>
      <c r="E105" s="94">
        <f>B105*C105*$B$51</f>
        <v>12500.0</v>
      </c>
    </row>
    <row r="106" ht="30" customHeight="1" s="61">
      <c r="A106" s="41" t="inlineStr">
        <is>
          <t>Render espacio Pro</t>
        </is>
      </c>
      <c r="B106" s="93" t="n">
        <v>1</v>
      </c>
      <c r="C106" s="93">
        <f>$B$63</f>
        <v>25</v>
      </c>
      <c r="D106" s="41" t="inlineStr">
        <is>
          <t>USD/mes</t>
        </is>
      </c>
      <c r="E106" s="94">
        <f>B106*C106*$B$51</f>
        <v>12500.0</v>
      </c>
    </row>
    <row r="107" ht="7.95" customHeight="1" s="61"/>
    <row r="108" ht="30" customHeight="1" s="61">
      <c r="A108" s="68" t="inlineStr">
        <is>
          <t>MÉTRICAS DE DISEÑO | límites que deben implementarse</t>
        </is>
      </c>
      <c r="B108" s="87" t="n"/>
      <c r="C108" s="87" t="n"/>
      <c r="D108" s="87" t="n"/>
      <c r="E108" s="87" t="n"/>
    </row>
    <row r="109" ht="48" customHeight="1" s="61">
      <c r="A109" s="67" t="inlineStr">
        <is>
          <t>12 sesiones/miembro/mes; 20 API/sesión +20% administración. API: 25 KB, 0,1 s CPU, 0,5 s duración y 1 GB RAM. Son supuestos de ingeniería, no benchmarks.</t>
        </is>
      </c>
      <c r="B109" s="87" t="n"/>
      <c r="C109" s="87" t="n"/>
      <c r="D109" s="87" t="n"/>
      <c r="E109" s="87" t="n"/>
    </row>
    <row r="110" ht="7.95" customHeight="1" s="61"/>
    <row r="111" ht="30" customHeight="1" s="61">
      <c r="A111" s="68" t="inlineStr">
        <is>
          <t>CONSUMO Y COSTO POR GIMNASIO | ocupación completa</t>
        </is>
      </c>
      <c r="B111" s="87" t="n"/>
      <c r="C111" s="87" t="n"/>
      <c r="D111" s="87" t="n"/>
      <c r="E111" s="87" t="n"/>
    </row>
    <row r="112" ht="30" customHeight="1" s="61">
      <c r="A112" s="41" t="inlineStr">
        <is>
          <t>Métrica</t>
        </is>
      </c>
      <c r="B112" s="41" t="inlineStr">
        <is>
          <t>Starter</t>
        </is>
      </c>
      <c r="C112" s="41" t="inlineStr">
        <is>
          <t>Pro Gym</t>
        </is>
      </c>
      <c r="D112" s="41" t="inlineStr">
        <is>
          <t>Premium</t>
        </is>
      </c>
      <c r="E112" s="41" t="inlineStr">
        <is>
          <t>Enterprise</t>
        </is>
      </c>
    </row>
    <row r="113" ht="30" customHeight="1" s="61">
      <c r="A113" s="41" t="inlineStr">
        <is>
          <t>Miembros</t>
        </is>
      </c>
      <c r="B113" s="93">
        <f>B36</f>
        <v>80</v>
      </c>
      <c r="C113" s="93">
        <f>C36</f>
        <v>200</v>
      </c>
      <c r="D113" s="93">
        <f>D36</f>
        <v>500</v>
      </c>
      <c r="E113" s="93">
        <f>E36</f>
        <v>1000</v>
      </c>
    </row>
    <row r="114" ht="30" customHeight="1" s="61">
      <c r="A114" s="41" t="inlineStr">
        <is>
          <t>Sesiones mensuales</t>
        </is>
      </c>
      <c r="B114" s="93">
        <f>B36*B38</f>
        <v>960.0</v>
      </c>
      <c r="C114" s="93">
        <f>C36*C38</f>
        <v>2400.0</v>
      </c>
      <c r="D114" s="93">
        <f>D36*D38</f>
        <v>6000.0</v>
      </c>
      <c r="E114" s="93">
        <f>E36*E38</f>
        <v>12000.0</v>
      </c>
    </row>
    <row r="115" ht="30" customHeight="1" s="61">
      <c r="A115" s="41" t="inlineStr">
        <is>
          <t>Solicitudes API</t>
        </is>
      </c>
      <c r="B115" s="93">
        <f>B114*B39*(1+B40)</f>
        <v>23040.0</v>
      </c>
      <c r="C115" s="93">
        <f>C114*C39*(1+C40)</f>
        <v>57600.0</v>
      </c>
      <c r="D115" s="93">
        <f>D114*D39*(1+D40)</f>
        <v>144000.0</v>
      </c>
      <c r="E115" s="93">
        <f>E114*E39*(1+E40)</f>
        <v>288000.0</v>
      </c>
    </row>
    <row r="116" ht="30" customHeight="1" s="61">
      <c r="A116" s="41" t="inlineStr">
        <is>
          <t>Datos BD año 1 (GB)</t>
        </is>
      </c>
      <c r="B116" s="93">
        <f>B36*0.15/200</f>
        <v>0.06</v>
      </c>
      <c r="C116" s="93">
        <f>C36*0.15/200</f>
        <v>0.15</v>
      </c>
      <c r="D116" s="93">
        <f>D36*0.15/200</f>
        <v>0.375</v>
      </c>
      <c r="E116" s="93">
        <f>E36*0.15/200</f>
        <v>0.75</v>
      </c>
    </row>
    <row r="117" ht="30" customHeight="1" s="61">
      <c r="A117" s="41" t="inlineStr">
        <is>
          <t>Archivos: cupo GB utilizado</t>
        </is>
      </c>
      <c r="B117" s="93">
        <f>B41</f>
        <v>1</v>
      </c>
      <c r="C117" s="93">
        <f>C41</f>
        <v>3</v>
      </c>
      <c r="D117" s="93">
        <f>D41</f>
        <v>8</v>
      </c>
      <c r="E117" s="93">
        <f>E41</f>
        <v>16</v>
      </c>
    </row>
    <row r="118" ht="30" customHeight="1" s="61">
      <c r="A118" s="41" t="inlineStr">
        <is>
          <t>Supabase tráfico GB/mes</t>
        </is>
      </c>
      <c r="B118" s="93">
        <f>B115*25/1000000+B114*2*250/1000000</f>
        <v>1.056</v>
      </c>
      <c r="C118" s="93">
        <f>C115*25/1000000+C114*2*250/1000000</f>
        <v>2.6399999999999997</v>
      </c>
      <c r="D118" s="93">
        <f>D115*25/1000000+D114*2*250/1000000</f>
        <v>6.6</v>
      </c>
      <c r="E118" s="93">
        <f>E115*25/1000000+E114*2*250/1000000</f>
        <v>13.2</v>
      </c>
    </row>
    <row r="119" ht="30" customHeight="1" s="61">
      <c r="A119" s="41" t="inlineStr">
        <is>
          <t>Vercel CDN GB/mes</t>
        </is>
      </c>
      <c r="B119" s="93">
        <f>B114/1000+B115*25/1000000</f>
        <v>1.536</v>
      </c>
      <c r="C119" s="93">
        <f>C114/1000+C115*25/1000000</f>
        <v>3.84</v>
      </c>
      <c r="D119" s="93">
        <f>D114/1000+D115*25/1000000</f>
        <v>9.6</v>
      </c>
      <c r="E119" s="93">
        <f>E114/1000+E115*25/1000000</f>
        <v>19.2</v>
      </c>
    </row>
    <row r="120" ht="30" customHeight="1" s="61">
      <c r="A120" s="41" t="inlineStr">
        <is>
          <t>Solicitudes CDN/mes</t>
        </is>
      </c>
      <c r="B120" s="93">
        <f>B114*10+B115*2</f>
        <v>55680.0</v>
      </c>
      <c r="C120" s="93">
        <f>C114*10+C115*2</f>
        <v>139200.0</v>
      </c>
      <c r="D120" s="93">
        <f>D114*10+D115*2</f>
        <v>348000.0</v>
      </c>
      <c r="E120" s="93">
        <f>E114*10+E115*2</f>
        <v>696000.0</v>
      </c>
    </row>
    <row r="121" ht="30" customHeight="1" s="61">
      <c r="A121" s="41" t="inlineStr">
        <is>
          <t>CPU activa horas/mes</t>
        </is>
      </c>
      <c r="B121" s="93">
        <f>(B115*0.1+B126*0.05)/3600</f>
        <v>0.6422222222222222</v>
      </c>
      <c r="C121" s="93">
        <f>(C115*0.1+C126*0.05)/3600</f>
        <v>1.6055555555555556</v>
      </c>
      <c r="D121" s="93">
        <f>(D115*0.1+D126*0.05)/3600</f>
        <v>4.013888888888889</v>
      </c>
      <c r="E121" s="93">
        <f>(E115*0.1+E126*0.05)/3600</f>
        <v>8.027777777777779</v>
      </c>
    </row>
    <row r="122" ht="30" customHeight="1" s="61">
      <c r="A122" s="41" t="inlineStr">
        <is>
          <t>Memoria GB-horas/mes</t>
        </is>
      </c>
      <c r="B122" s="93">
        <f>(B115*0.5+B126*5)/3600</f>
        <v>3.422222222222222</v>
      </c>
      <c r="C122" s="93">
        <f>(C115*0.5+C126*5)/3600</f>
        <v>8.555555555555555</v>
      </c>
      <c r="D122" s="93">
        <f>(D115*0.5+D126*5)/3600</f>
        <v>21.38888888888889</v>
      </c>
      <c r="E122" s="93">
        <f>(E115*0.5+E126*5)/3600</f>
        <v>42.77777777777778</v>
      </c>
    </row>
    <row r="123" ht="30" customHeight="1" s="61">
      <c r="A123" s="41" t="inlineStr">
        <is>
          <t>Destinatarios correo/mes</t>
        </is>
      </c>
      <c r="B123" s="93">
        <f>B36*B42+20</f>
        <v>180.0</v>
      </c>
      <c r="C123" s="93">
        <f>C36*C42+20</f>
        <v>420.0</v>
      </c>
      <c r="D123" s="93">
        <f>D36*D42+20</f>
        <v>1020.0</v>
      </c>
      <c r="E123" s="93">
        <f>E36*E42+20</f>
        <v>2020.0</v>
      </c>
    </row>
    <row r="124" ht="30" customHeight="1" s="61">
      <c r="A124" s="41" t="inlineStr">
        <is>
          <t>Datos correo GB/mes</t>
        </is>
      </c>
      <c r="B124" s="93">
        <f>B123*32/1000000</f>
        <v>0.00576</v>
      </c>
      <c r="C124" s="93">
        <f>C123*32/1000000</f>
        <v>0.01344</v>
      </c>
      <c r="D124" s="93">
        <f>D123*32/1000000</f>
        <v>0.03264</v>
      </c>
      <c r="E124" s="93">
        <f>E123*32/1000000</f>
        <v>0.06464</v>
      </c>
    </row>
    <row r="125" ht="30" customHeight="1" s="61">
      <c r="A125" s="41" t="inlineStr">
        <is>
          <t>Correo CRC/mes</t>
        </is>
      </c>
      <c r="B125" s="94">
        <f>ROUND((B123*$B$66/1000+B124*$B$67)*$B$51,2)</f>
        <v>14.75</v>
      </c>
      <c r="C125" s="94">
        <f>ROUND((C123*$B$66/1000+C124*$B$67)*$B$51,2)</f>
        <v>34.41</v>
      </c>
      <c r="D125" s="94">
        <f>ROUND((D123*$B$66/1000+D124*$B$67)*$B$51,2)</f>
        <v>83.56</v>
      </c>
      <c r="E125" s="94">
        <f>ROUND((E123*$B$66/1000+E124*$B$67)*$B$51,2)</f>
        <v>165.48</v>
      </c>
    </row>
    <row r="126" ht="30" customHeight="1" s="61">
      <c r="A126" s="41" t="inlineStr">
        <is>
          <t>Respuestas IA/mes</t>
        </is>
      </c>
      <c r="B126" s="93">
        <f>B36*B46</f>
        <v>160.0</v>
      </c>
      <c r="C126" s="93">
        <f>C36*C46</f>
        <v>400.0</v>
      </c>
      <c r="D126" s="93">
        <f>D36*D46</f>
        <v>1000.0</v>
      </c>
      <c r="E126" s="93">
        <f>E36*E46</f>
        <v>2000.0</v>
      </c>
    </row>
    <row r="127" ht="30" customHeight="1" s="61">
      <c r="A127" s="41" t="inlineStr">
        <is>
          <t>IA CRC/mes</t>
        </is>
      </c>
      <c r="B127" s="94">
        <f>ROUND(B126*(4000*$B$64+300*$B$65)/1000000*$B$51,2)</f>
        <v>166.4</v>
      </c>
      <c r="C127" s="94">
        <f>ROUND(C126*(4000*$B$64+300*$B$65)/1000000*$B$51,2)</f>
        <v>416.0</v>
      </c>
      <c r="D127" s="94">
        <f>ROUND(D126*(4000*$B$64+300*$B$65)/1000000*$B$51,2)</f>
        <v>1040.0</v>
      </c>
      <c r="E127" s="94">
        <f>ROUND(E126*(4000*$B$64+300*$B$65)/1000000*$B$51,2)</f>
        <v>2080.0</v>
      </c>
    </row>
    <row r="128" ht="30" customHeight="1" s="61">
      <c r="A128" s="41" t="inlineStr">
        <is>
          <t>Pasarela CRC/mes</t>
        </is>
      </c>
      <c r="B128" s="94">
        <f>B13*$B$72+$B$73</f>
        <v>0</v>
      </c>
      <c r="C128" s="94">
        <f>C13*$B$72+$B$73</f>
        <v>0</v>
      </c>
      <c r="D128" s="94">
        <f>D13*$B$72+$B$73</f>
        <v>0</v>
      </c>
      <c r="E128" s="94">
        <f>E13*$B$72+$B$73</f>
        <v>0</v>
      </c>
    </row>
    <row r="129" ht="30" customHeight="1" s="61">
      <c r="A129" s="41" t="inlineStr">
        <is>
          <t>Variable antes de excedentes CRC</t>
        </is>
      </c>
      <c r="B129" s="94">
        <f>B125+B127+B128+B43*$B$50+(B44+B45*$B$70)*$B$51</f>
        <v>1216.2295208333335</v>
      </c>
      <c r="C129" s="94">
        <f>C125+C127+C128+C43*$B$50+(C44+C45*$B$70)*$B$51</f>
        <v>1485.4895208333332</v>
      </c>
      <c r="D129" s="94">
        <f>D125+D127+D128+D43*$B$50+(D44+D45*$B$70)*$B$51</f>
        <v>13193.719041666667</v>
      </c>
      <c r="E129" s="94">
        <f>E125+E127+E128+E43*$B$50+(E44+E45*$B$70)*$B$51</f>
        <v>18885.798083333335</v>
      </c>
    </row>
    <row r="130" ht="30" customHeight="1" s="61">
      <c r="A130" s="41" t="inlineStr">
        <is>
          <t>Vercel consumo USD antes de crédito</t>
        </is>
      </c>
      <c r="B130" s="93">
        <f>B121*$B$55+B122*$B$56+B115/1000000*$B$57+B115*25/1000000*$B$68</f>
        <v>0.166864</v>
      </c>
      <c r="C130" s="93">
        <f>C121*$B$55+C122*$B$56+C115/1000000*$B$57+C115*25/1000000*$B$68</f>
        <v>0.41716</v>
      </c>
      <c r="D130" s="93">
        <f>D121*$B$55+D122*$B$56+D115/1000000*$B$57+D115*25/1000000*$B$68</f>
        <v>1.0429000000000002</v>
      </c>
      <c r="E130" s="93">
        <f>E121*$B$55+E122*$B$56+E115/1000000*$B$57+E115*25/1000000*$B$68</f>
        <v>2.0858000000000003</v>
      </c>
    </row>
    <row r="131" ht="30" customHeight="1" s="61">
      <c r="A131" s="41" t="inlineStr">
        <is>
          <t>Exceso disco dedicado GB</t>
        </is>
      </c>
      <c r="B131" s="93">
        <f>IF(B44&gt;0,MAX(0,ROUNDUP(B116*2,0)-8),0)</f>
        <v>0</v>
      </c>
      <c r="C131" s="93">
        <f>IF(C44&gt;0,MAX(0,ROUNDUP(C116*2,0)-8),0)</f>
        <v>0</v>
      </c>
      <c r="D131" s="93">
        <f>IF(D44&gt;0,MAX(0,ROUNDUP(D116*2,0)-8),0)</f>
        <v>0</v>
      </c>
      <c r="E131" s="93">
        <f>IF(E44&gt;0,MAX(0,ROUNDUP(E116*2,0)-8),0)</f>
        <v>0</v>
      </c>
    </row>
    <row r="132" ht="7.95" customHeight="1" s="61"/>
    <row r="133" ht="54" customHeight="1" s="61">
      <c r="A133" s="67" t="inlineStr">
        <is>
          <t>Archivos: 1 foto perfil +12 comprobantes +12 fotos progreso/año, 250 KB cada uno; retención 12 meses. Se costea el cupo contratado completo (1/3/8/16 GB); videos alojados externamente.</t>
        </is>
      </c>
      <c r="B133" s="87" t="n"/>
      <c r="C133" s="87" t="n"/>
      <c r="D133" s="87" t="n"/>
      <c r="E133" s="87" t="n"/>
    </row>
    <row r="134" ht="48" customHeight="1" s="61">
      <c r="A134" s="67" t="inlineStr">
        <is>
          <t>IA: 2 respuestas/miembro/mes, 4 000 tokens de entrada y 300 de salida; 5 s de espera. Es un cupo comercial a implementar, distinto del límite diario actual del código.</t>
        </is>
      </c>
      <c r="B134" s="87" t="n"/>
      <c r="C134" s="87" t="n"/>
      <c r="D134" s="87" t="n"/>
      <c r="E134" s="87" t="n"/>
    </row>
    <row r="135" ht="7.95" customHeight="1" s="61"/>
    <row r="136" ht="30" customHeight="1" s="61">
      <c r="A136" s="68" t="inlineStr">
        <is>
          <t>EXCEDENTES POR MES | cuotas aplicadas una sola vez</t>
        </is>
      </c>
      <c r="B136" s="87" t="n"/>
      <c r="C136" s="87" t="n"/>
      <c r="D136" s="87" t="n"/>
      <c r="E136" s="87" t="n"/>
    </row>
    <row r="137" ht="30" customHeight="1" s="61">
      <c r="A137" s="41" t="inlineStr">
        <is>
          <t>Mes</t>
        </is>
      </c>
      <c r="B137" s="41" t="inlineStr">
        <is>
          <t>Supabase extra CRC</t>
        </is>
      </c>
      <c r="C137" s="41" t="inlineStr">
        <is>
          <t>Vercel + escala tareas CRC</t>
        </is>
      </c>
      <c r="D137" s="41" t="inlineStr">
        <is>
          <t>Extra total CRC</t>
        </is>
      </c>
      <c r="E137" s="41" t="inlineStr">
        <is>
          <t>Miembros</t>
        </is>
      </c>
    </row>
    <row r="138" ht="30" customHeight="1" s="61">
      <c r="A138" s="93" t="n">
        <v>1</v>
      </c>
      <c r="B138" s="94">
        <f>ROUND((MAX(0,('PPTO Vtas Servicios'!C7*$B$117+'PPTO Vtas Servicios'!C8*$C$117+'PPTO Vtas Servicios'!C9*$D$117+'PPTO Vtas Servicios'!C10*$E$117)-100)*$B$53+MAX(0,('PPTO Vtas Servicios'!C7*$B$118+'PPTO Vtas Servicios'!C8*$C$118+'PPTO Vtas Servicios'!C9*$D$118+'PPTO Vtas Servicios'!C10*$E$118)-250)*$B$52+(MAX(0,ROUNDUP((('PPTO Vtas Servicios'!C7*$B$116+'PPTO Vtas Servicios'!C8*$C$116)+('PPTO Vtas Servicios'!C9*$D$116+'PPTO Vtas Servicios'!C10*$E$116)*0.05)*2,0)-8)+('PPTO Vtas Servicios'!C7*$B$131+'PPTO Vtas Servicios'!C8*$C$131+'PPTO Vtas Servicios'!C9*$D$131+'PPTO Vtas Servicios'!C10*$E$131))*$B$54+IF(('PPTO Vtas Servicios'!C7*$B$36+'PPTO Vtas Servicios'!C8*$C$36)&lt;=2000,10,IF(('PPTO Vtas Servicios'!C7*$B$36+'PPTO Vtas Servicios'!C8*$C$36)&lt;=5000,15,IF(('PPTO Vtas Servicios'!C7*$B$36+'PPTO Vtas Servicios'!C8*$C$36)&lt;=10000,60,110)))-10)*$B$51,2)</f>
        <v>0</v>
      </c>
      <c r="C138" s="94">
        <f>ROUND((MAX(0,('PPTO Vtas Servicios'!C7*$B$130+'PPTO Vtas Servicios'!C8*$C$130+'PPTO Vtas Servicios'!C9*$D$130+'PPTO Vtas Servicios'!C10*$E$130)+20*2*2*$B$69+30*(1/3600*$B$55+5/3600*$B$56)-$B$58)+IF(AND(('PPTO Vtas Servicios'!C7*$B$120+'PPTO Vtas Servicios'!C8*$C$120+'PPTO Vtas Servicios'!C9*$D$120+'PPTO Vtas Servicios'!C10*$E$120)&lt;=1000000,('PPTO Vtas Servicios'!C7*$B$119+'PPTO Vtas Servicios'!C8*$C$119+'PPTO Vtas Servicios'!C9*$D$119+'PPTO Vtas Servicios'!C10*$E$119)&lt;=1000),0,IF(('PPTO Vtas Servicios'!C7*$B$120+'PPTO Vtas Servicios'!C8*$C$120+'PPTO Vtas Servicios'!C9*$D$120+'PPTO Vtas Servicios'!C10*$E$120)&lt;=10000000,20,IF(('PPTO Vtas Servicios'!C7*$B$120+'PPTO Vtas Servicios'!C8*$C$120+'PPTO Vtas Servicios'!C9*$D$120+'PPTO Vtas Servicios'!C10*$E$120)&lt;=50000000,100,300)))+MAX(0,ROUNDUP(('PPTO Vtas Servicios'!C7*$B$36+'PPTO Vtas Servicios'!C8*$C$36+'PPTO Vtas Servicios'!C9*$D$36+'PPTO Vtas Servicios'!C10*$E$36)/5000,0)-1)*$B$62+IF(('PPTO Vtas Servicios'!C7*$B$36+'PPTO Vtas Servicios'!C8*$C$36+'PPTO Vtas Servicios'!C9*$D$36+'PPTO Vtas Servicios'!C10*$E$36)&gt;5000,32-$B$61,0))*$B$51,2)</f>
        <v>0</v>
      </c>
      <c r="D138" s="94">
        <f>B138+C138</f>
        <v>0</v>
      </c>
      <c r="E138" s="93">
        <f>('PPTO Vtas Servicios'!C7*$B$36+'PPTO Vtas Servicios'!C8*$C$36+'PPTO Vtas Servicios'!C9*$D$36+'PPTO Vtas Servicios'!C10*$E$36)</f>
        <v>880.0</v>
      </c>
    </row>
    <row r="139" ht="30" customHeight="1" s="61">
      <c r="A139" s="93" t="n">
        <v>2</v>
      </c>
      <c r="B139" s="94">
        <f>ROUND((MAX(0,('PPTO Vtas Servicios'!D7*$B$117+'PPTO Vtas Servicios'!D8*$C$117+'PPTO Vtas Servicios'!D9*$D$117+'PPTO Vtas Servicios'!D10*$E$117)-100)*$B$53+MAX(0,('PPTO Vtas Servicios'!D7*$B$118+'PPTO Vtas Servicios'!D8*$C$118+'PPTO Vtas Servicios'!D9*$D$118+'PPTO Vtas Servicios'!D10*$E$118)-250)*$B$52+(MAX(0,ROUNDUP((('PPTO Vtas Servicios'!D7*$B$116+'PPTO Vtas Servicios'!D8*$C$116)+('PPTO Vtas Servicios'!D9*$D$116+'PPTO Vtas Servicios'!D10*$E$116)*0.05)*2,0)-8)+('PPTO Vtas Servicios'!D7*$B$131+'PPTO Vtas Servicios'!D8*$C$131+'PPTO Vtas Servicios'!D9*$D$131+'PPTO Vtas Servicios'!D10*$E$131))*$B$54+IF(('PPTO Vtas Servicios'!D7*$B$36+'PPTO Vtas Servicios'!D8*$C$36)&lt;=2000,10,IF(('PPTO Vtas Servicios'!D7*$B$36+'PPTO Vtas Servicios'!D8*$C$36)&lt;=5000,15,IF(('PPTO Vtas Servicios'!D7*$B$36+'PPTO Vtas Servicios'!D8*$C$36)&lt;=10000,60,110)))-10)*$B$51,2)</f>
        <v>0</v>
      </c>
      <c r="C139" s="94">
        <f>ROUND((MAX(0,('PPTO Vtas Servicios'!D7*$B$130+'PPTO Vtas Servicios'!D8*$C$130+'PPTO Vtas Servicios'!D9*$D$130+'PPTO Vtas Servicios'!D10*$E$130)+20*2*2*$B$69+30*(1/3600*$B$55+5/3600*$B$56)-$B$58)+IF(AND(('PPTO Vtas Servicios'!D7*$B$120+'PPTO Vtas Servicios'!D8*$C$120+'PPTO Vtas Servicios'!D9*$D$120+'PPTO Vtas Servicios'!D10*$E$120)&lt;=1000000,('PPTO Vtas Servicios'!D7*$B$119+'PPTO Vtas Servicios'!D8*$C$119+'PPTO Vtas Servicios'!D9*$D$119+'PPTO Vtas Servicios'!D10*$E$119)&lt;=1000),0,IF(('PPTO Vtas Servicios'!D7*$B$120+'PPTO Vtas Servicios'!D8*$C$120+'PPTO Vtas Servicios'!D9*$D$120+'PPTO Vtas Servicios'!D10*$E$120)&lt;=10000000,20,IF(('PPTO Vtas Servicios'!D7*$B$120+'PPTO Vtas Servicios'!D8*$C$120+'PPTO Vtas Servicios'!D9*$D$120+'PPTO Vtas Servicios'!D10*$E$120)&lt;=50000000,100,300)))+MAX(0,ROUNDUP(('PPTO Vtas Servicios'!D7*$B$36+'PPTO Vtas Servicios'!D8*$C$36+'PPTO Vtas Servicios'!D9*$D$36+'PPTO Vtas Servicios'!D10*$E$36)/5000,0)-1)*$B$62+IF(('PPTO Vtas Servicios'!D7*$B$36+'PPTO Vtas Servicios'!D8*$C$36+'PPTO Vtas Servicios'!D9*$D$36+'PPTO Vtas Servicios'!D10*$E$36)&gt;5000,32-$B$61,0))*$B$51,2)</f>
        <v>0</v>
      </c>
      <c r="D139" s="94">
        <f>B139+C139</f>
        <v>0</v>
      </c>
      <c r="E139" s="93">
        <f>('PPTO Vtas Servicios'!D7*$B$36+'PPTO Vtas Servicios'!D8*$C$36+'PPTO Vtas Servicios'!D9*$D$36+'PPTO Vtas Servicios'!D10*$E$36)</f>
        <v>1080.0</v>
      </c>
    </row>
    <row r="140" ht="30" customHeight="1" s="61">
      <c r="A140" s="93" t="n">
        <v>3</v>
      </c>
      <c r="B140" s="94">
        <f>ROUND((MAX(0,('PPTO Vtas Servicios'!E7*$B$117+'PPTO Vtas Servicios'!E8*$C$117+'PPTO Vtas Servicios'!E9*$D$117+'PPTO Vtas Servicios'!E10*$E$117)-100)*$B$53+MAX(0,('PPTO Vtas Servicios'!E7*$B$118+'PPTO Vtas Servicios'!E8*$C$118+'PPTO Vtas Servicios'!E9*$D$118+'PPTO Vtas Servicios'!E10*$E$118)-250)*$B$52+(MAX(0,ROUNDUP((('PPTO Vtas Servicios'!E7*$B$116+'PPTO Vtas Servicios'!E8*$C$116)+('PPTO Vtas Servicios'!E9*$D$116+'PPTO Vtas Servicios'!E10*$E$116)*0.05)*2,0)-8)+('PPTO Vtas Servicios'!E7*$B$131+'PPTO Vtas Servicios'!E8*$C$131+'PPTO Vtas Servicios'!E9*$D$131+'PPTO Vtas Servicios'!E10*$E$131))*$B$54+IF(('PPTO Vtas Servicios'!E7*$B$36+'PPTO Vtas Servicios'!E8*$C$36)&lt;=2000,10,IF(('PPTO Vtas Servicios'!E7*$B$36+'PPTO Vtas Servicios'!E8*$C$36)&lt;=5000,15,IF(('PPTO Vtas Servicios'!E7*$B$36+'PPTO Vtas Servicios'!E8*$C$36)&lt;=10000,60,110)))-10)*$B$51,2)</f>
        <v>0</v>
      </c>
      <c r="C140" s="94">
        <f>ROUND((MAX(0,('PPTO Vtas Servicios'!E7*$B$130+'PPTO Vtas Servicios'!E8*$C$130+'PPTO Vtas Servicios'!E9*$D$130+'PPTO Vtas Servicios'!E10*$E$130)+20*2*2*$B$69+30*(1/3600*$B$55+5/3600*$B$56)-$B$58)+IF(AND(('PPTO Vtas Servicios'!E7*$B$120+'PPTO Vtas Servicios'!E8*$C$120+'PPTO Vtas Servicios'!E9*$D$120+'PPTO Vtas Servicios'!E10*$E$120)&lt;=1000000,('PPTO Vtas Servicios'!E7*$B$119+'PPTO Vtas Servicios'!E8*$C$119+'PPTO Vtas Servicios'!E9*$D$119+'PPTO Vtas Servicios'!E10*$E$119)&lt;=1000),0,IF(('PPTO Vtas Servicios'!E7*$B$120+'PPTO Vtas Servicios'!E8*$C$120+'PPTO Vtas Servicios'!E9*$D$120+'PPTO Vtas Servicios'!E10*$E$120)&lt;=10000000,20,IF(('PPTO Vtas Servicios'!E7*$B$120+'PPTO Vtas Servicios'!E8*$C$120+'PPTO Vtas Servicios'!E9*$D$120+'PPTO Vtas Servicios'!E10*$E$120)&lt;=50000000,100,300)))+MAX(0,ROUNDUP(('PPTO Vtas Servicios'!E7*$B$36+'PPTO Vtas Servicios'!E8*$C$36+'PPTO Vtas Servicios'!E9*$D$36+'PPTO Vtas Servicios'!E10*$E$36)/5000,0)-1)*$B$62+IF(('PPTO Vtas Servicios'!E7*$B$36+'PPTO Vtas Servicios'!E8*$C$36+'PPTO Vtas Servicios'!E9*$D$36+'PPTO Vtas Servicios'!E10*$E$36)&gt;5000,32-$B$61,0))*$B$51,2)</f>
        <v>0</v>
      </c>
      <c r="D140" s="94">
        <f>B140+C140</f>
        <v>0</v>
      </c>
      <c r="E140" s="93">
        <f>('PPTO Vtas Servicios'!E7*$B$36+'PPTO Vtas Servicios'!E8*$C$36+'PPTO Vtas Servicios'!E9*$D$36+'PPTO Vtas Servicios'!E10*$E$36)</f>
        <v>1280.0</v>
      </c>
    </row>
    <row r="141" ht="30" customHeight="1" s="61">
      <c r="A141" s="93" t="n">
        <v>4</v>
      </c>
      <c r="B141" s="94">
        <f>ROUND((MAX(0,('PPTO Vtas Servicios'!F7*$B$117+'PPTO Vtas Servicios'!F8*$C$117+'PPTO Vtas Servicios'!F9*$D$117+'PPTO Vtas Servicios'!F10*$E$117)-100)*$B$53+MAX(0,('PPTO Vtas Servicios'!F7*$B$118+'PPTO Vtas Servicios'!F8*$C$118+'PPTO Vtas Servicios'!F9*$D$118+'PPTO Vtas Servicios'!F10*$E$118)-250)*$B$52+(MAX(0,ROUNDUP((('PPTO Vtas Servicios'!F7*$B$116+'PPTO Vtas Servicios'!F8*$C$116)+('PPTO Vtas Servicios'!F9*$D$116+'PPTO Vtas Servicios'!F10*$E$116)*0.05)*2,0)-8)+('PPTO Vtas Servicios'!F7*$B$131+'PPTO Vtas Servicios'!F8*$C$131+'PPTO Vtas Servicios'!F9*$D$131+'PPTO Vtas Servicios'!F10*$E$131))*$B$54+IF(('PPTO Vtas Servicios'!F7*$B$36+'PPTO Vtas Servicios'!F8*$C$36)&lt;=2000,10,IF(('PPTO Vtas Servicios'!F7*$B$36+'PPTO Vtas Servicios'!F8*$C$36)&lt;=5000,15,IF(('PPTO Vtas Servicios'!F7*$B$36+'PPTO Vtas Servicios'!F8*$C$36)&lt;=10000,60,110)))-10)*$B$51,2)</f>
        <v>0</v>
      </c>
      <c r="C141" s="94">
        <f>ROUND((MAX(0,('PPTO Vtas Servicios'!F7*$B$130+'PPTO Vtas Servicios'!F8*$C$130+'PPTO Vtas Servicios'!F9*$D$130+'PPTO Vtas Servicios'!F10*$E$130)+20*2*2*$B$69+30*(1/3600*$B$55+5/3600*$B$56)-$B$58)+IF(AND(('PPTO Vtas Servicios'!F7*$B$120+'PPTO Vtas Servicios'!F8*$C$120+'PPTO Vtas Servicios'!F9*$D$120+'PPTO Vtas Servicios'!F10*$E$120)&lt;=1000000,('PPTO Vtas Servicios'!F7*$B$119+'PPTO Vtas Servicios'!F8*$C$119+'PPTO Vtas Servicios'!F9*$D$119+'PPTO Vtas Servicios'!F10*$E$119)&lt;=1000),0,IF(('PPTO Vtas Servicios'!F7*$B$120+'PPTO Vtas Servicios'!F8*$C$120+'PPTO Vtas Servicios'!F9*$D$120+'PPTO Vtas Servicios'!F10*$E$120)&lt;=10000000,20,IF(('PPTO Vtas Servicios'!F7*$B$120+'PPTO Vtas Servicios'!F8*$C$120+'PPTO Vtas Servicios'!F9*$D$120+'PPTO Vtas Servicios'!F10*$E$120)&lt;=50000000,100,300)))+MAX(0,ROUNDUP(('PPTO Vtas Servicios'!F7*$B$36+'PPTO Vtas Servicios'!F8*$C$36+'PPTO Vtas Servicios'!F9*$D$36+'PPTO Vtas Servicios'!F10*$E$36)/5000,0)-1)*$B$62+IF(('PPTO Vtas Servicios'!F7*$B$36+'PPTO Vtas Servicios'!F8*$C$36+'PPTO Vtas Servicios'!F9*$D$36+'PPTO Vtas Servicios'!F10*$E$36)&gt;5000,32-$B$61,0))*$B$51,2)</f>
        <v>10000.0</v>
      </c>
      <c r="D141" s="94">
        <f>B141+C141</f>
        <v>10000.0</v>
      </c>
      <c r="E141" s="93">
        <f>('PPTO Vtas Servicios'!F7*$B$36+'PPTO Vtas Servicios'!F8*$C$36+'PPTO Vtas Servicios'!F9*$D$36+'PPTO Vtas Servicios'!F10*$E$36)</f>
        <v>1480.0</v>
      </c>
    </row>
    <row r="142" ht="30" customHeight="1" s="61">
      <c r="A142" s="93" t="n">
        <v>5</v>
      </c>
      <c r="B142" s="94">
        <f>ROUND((MAX(0,('PPTO Vtas Servicios'!G7*$B$117+'PPTO Vtas Servicios'!G8*$C$117+'PPTO Vtas Servicios'!G9*$D$117+'PPTO Vtas Servicios'!G10*$E$117)-100)*$B$53+MAX(0,('PPTO Vtas Servicios'!G7*$B$118+'PPTO Vtas Servicios'!G8*$C$118+'PPTO Vtas Servicios'!G9*$D$118+'PPTO Vtas Servicios'!G10*$E$118)-250)*$B$52+(MAX(0,ROUNDUP((('PPTO Vtas Servicios'!G7*$B$116+'PPTO Vtas Servicios'!G8*$C$116)+('PPTO Vtas Servicios'!G9*$D$116+'PPTO Vtas Servicios'!G10*$E$116)*0.05)*2,0)-8)+('PPTO Vtas Servicios'!G7*$B$131+'PPTO Vtas Servicios'!G8*$C$131+'PPTO Vtas Servicios'!G9*$D$131+'PPTO Vtas Servicios'!G10*$E$131))*$B$54+IF(('PPTO Vtas Servicios'!G7*$B$36+'PPTO Vtas Servicios'!G8*$C$36)&lt;=2000,10,IF(('PPTO Vtas Servicios'!G7*$B$36+'PPTO Vtas Servicios'!G8*$C$36)&lt;=5000,15,IF(('PPTO Vtas Servicios'!G7*$B$36+'PPTO Vtas Servicios'!G8*$C$36)&lt;=10000,60,110)))-10)*$B$51,2)</f>
        <v>0</v>
      </c>
      <c r="C142" s="94">
        <f>ROUND((MAX(0,('PPTO Vtas Servicios'!G7*$B$130+'PPTO Vtas Servicios'!G8*$C$130+'PPTO Vtas Servicios'!G9*$D$130+'PPTO Vtas Servicios'!G10*$E$130)+20*2*2*$B$69+30*(1/3600*$B$55+5/3600*$B$56)-$B$58)+IF(AND(('PPTO Vtas Servicios'!G7*$B$120+'PPTO Vtas Servicios'!G8*$C$120+'PPTO Vtas Servicios'!G9*$D$120+'PPTO Vtas Servicios'!G10*$E$120)&lt;=1000000,('PPTO Vtas Servicios'!G7*$B$119+'PPTO Vtas Servicios'!G8*$C$119+'PPTO Vtas Servicios'!G9*$D$119+'PPTO Vtas Servicios'!G10*$E$119)&lt;=1000),0,IF(('PPTO Vtas Servicios'!G7*$B$120+'PPTO Vtas Servicios'!G8*$C$120+'PPTO Vtas Servicios'!G9*$D$120+'PPTO Vtas Servicios'!G10*$E$120)&lt;=10000000,20,IF(('PPTO Vtas Servicios'!G7*$B$120+'PPTO Vtas Servicios'!G8*$C$120+'PPTO Vtas Servicios'!G9*$D$120+'PPTO Vtas Servicios'!G10*$E$120)&lt;=50000000,100,300)))+MAX(0,ROUNDUP(('PPTO Vtas Servicios'!G7*$B$36+'PPTO Vtas Servicios'!G8*$C$36+'PPTO Vtas Servicios'!G9*$D$36+'PPTO Vtas Servicios'!G10*$E$36)/5000,0)-1)*$B$62+IF(('PPTO Vtas Servicios'!G7*$B$36+'PPTO Vtas Servicios'!G8*$C$36+'PPTO Vtas Servicios'!G9*$D$36+'PPTO Vtas Servicios'!G10*$E$36)&gt;5000,32-$B$61,0))*$B$51,2)</f>
        <v>10000.0</v>
      </c>
      <c r="D142" s="94">
        <f>B142+C142</f>
        <v>10000.0</v>
      </c>
      <c r="E142" s="93">
        <f>('PPTO Vtas Servicios'!G7*$B$36+'PPTO Vtas Servicios'!G8*$C$36+'PPTO Vtas Servicios'!G9*$D$36+'PPTO Vtas Servicios'!G10*$E$36)</f>
        <v>1680.0</v>
      </c>
    </row>
    <row r="143" ht="30" customHeight="1" s="61">
      <c r="A143" s="93" t="n">
        <v>6</v>
      </c>
      <c r="B143" s="94">
        <f>ROUND((MAX(0,('PPTO Vtas Servicios'!H7*$B$117+'PPTO Vtas Servicios'!H8*$C$117+'PPTO Vtas Servicios'!H9*$D$117+'PPTO Vtas Servicios'!H10*$E$117)-100)*$B$53+MAX(0,('PPTO Vtas Servicios'!H7*$B$118+'PPTO Vtas Servicios'!H8*$C$118+'PPTO Vtas Servicios'!H9*$D$118+'PPTO Vtas Servicios'!H10*$E$118)-250)*$B$52+(MAX(0,ROUNDUP((('PPTO Vtas Servicios'!H7*$B$116+'PPTO Vtas Servicios'!H8*$C$116)+('PPTO Vtas Servicios'!H9*$D$116+'PPTO Vtas Servicios'!H10*$E$116)*0.05)*2,0)-8)+('PPTO Vtas Servicios'!H7*$B$131+'PPTO Vtas Servicios'!H8*$C$131+'PPTO Vtas Servicios'!H9*$D$131+'PPTO Vtas Servicios'!H10*$E$131))*$B$54+IF(('PPTO Vtas Servicios'!H7*$B$36+'PPTO Vtas Servicios'!H8*$C$36)&lt;=2000,10,IF(('PPTO Vtas Servicios'!H7*$B$36+'PPTO Vtas Servicios'!H8*$C$36)&lt;=5000,15,IF(('PPTO Vtas Servicios'!H7*$B$36+'PPTO Vtas Servicios'!H8*$C$36)&lt;=10000,60,110)))-10)*$B$51,2)</f>
        <v>0</v>
      </c>
      <c r="C143" s="94">
        <f>ROUND((MAX(0,('PPTO Vtas Servicios'!H7*$B$130+'PPTO Vtas Servicios'!H8*$C$130+'PPTO Vtas Servicios'!H9*$D$130+'PPTO Vtas Servicios'!H10*$E$130)+20*2*2*$B$69+30*(1/3600*$B$55+5/3600*$B$56)-$B$58)+IF(AND(('PPTO Vtas Servicios'!H7*$B$120+'PPTO Vtas Servicios'!H8*$C$120+'PPTO Vtas Servicios'!H9*$D$120+'PPTO Vtas Servicios'!H10*$E$120)&lt;=1000000,('PPTO Vtas Servicios'!H7*$B$119+'PPTO Vtas Servicios'!H8*$C$119+'PPTO Vtas Servicios'!H9*$D$119+'PPTO Vtas Servicios'!H10*$E$119)&lt;=1000),0,IF(('PPTO Vtas Servicios'!H7*$B$120+'PPTO Vtas Servicios'!H8*$C$120+'PPTO Vtas Servicios'!H9*$D$120+'PPTO Vtas Servicios'!H10*$E$120)&lt;=10000000,20,IF(('PPTO Vtas Servicios'!H7*$B$120+'PPTO Vtas Servicios'!H8*$C$120+'PPTO Vtas Servicios'!H9*$D$120+'PPTO Vtas Servicios'!H10*$E$120)&lt;=50000000,100,300)))+MAX(0,ROUNDUP(('PPTO Vtas Servicios'!H7*$B$36+'PPTO Vtas Servicios'!H8*$C$36+'PPTO Vtas Servicios'!H9*$D$36+'PPTO Vtas Servicios'!H10*$E$36)/5000,0)-1)*$B$62+IF(('PPTO Vtas Servicios'!H7*$B$36+'PPTO Vtas Servicios'!H8*$C$36+'PPTO Vtas Servicios'!H9*$D$36+'PPTO Vtas Servicios'!H10*$E$36)&gt;5000,32-$B$61,0))*$B$51,2)</f>
        <v>10000.0</v>
      </c>
      <c r="D143" s="94">
        <f>B143+C143</f>
        <v>10000.0</v>
      </c>
      <c r="E143" s="93">
        <f>('PPTO Vtas Servicios'!H7*$B$36+'PPTO Vtas Servicios'!H8*$C$36+'PPTO Vtas Servicios'!H9*$D$36+'PPTO Vtas Servicios'!H10*$E$36)</f>
        <v>1680.0</v>
      </c>
    </row>
    <row r="144" ht="30" customHeight="1" s="61">
      <c r="A144" s="93" t="n">
        <v>7</v>
      </c>
      <c r="B144" s="94">
        <f>ROUND((MAX(0,('PPTO Vtas Servicios'!I7*$B$117+'PPTO Vtas Servicios'!I8*$C$117+'PPTO Vtas Servicios'!I9*$D$117+'PPTO Vtas Servicios'!I10*$E$117)-100)*$B$53+MAX(0,('PPTO Vtas Servicios'!I7*$B$118+'PPTO Vtas Servicios'!I8*$C$118+'PPTO Vtas Servicios'!I9*$D$118+'PPTO Vtas Servicios'!I10*$E$118)-250)*$B$52+(MAX(0,ROUNDUP((('PPTO Vtas Servicios'!I7*$B$116+'PPTO Vtas Servicios'!I8*$C$116)+('PPTO Vtas Servicios'!I9*$D$116+'PPTO Vtas Servicios'!I10*$E$116)*0.05)*2,0)-8)+('PPTO Vtas Servicios'!I7*$B$131+'PPTO Vtas Servicios'!I8*$C$131+'PPTO Vtas Servicios'!I9*$D$131+'PPTO Vtas Servicios'!I10*$E$131))*$B$54+IF(('PPTO Vtas Servicios'!I7*$B$36+'PPTO Vtas Servicios'!I8*$C$36)&lt;=2000,10,IF(('PPTO Vtas Servicios'!I7*$B$36+'PPTO Vtas Servicios'!I8*$C$36)&lt;=5000,15,IF(('PPTO Vtas Servicios'!I7*$B$36+'PPTO Vtas Servicios'!I8*$C$36)&lt;=10000,60,110)))-10)*$B$51,2)</f>
        <v>0</v>
      </c>
      <c r="C144" s="94">
        <f>ROUND((MAX(0,('PPTO Vtas Servicios'!I7*$B$130+'PPTO Vtas Servicios'!I8*$C$130+'PPTO Vtas Servicios'!I9*$D$130+'PPTO Vtas Servicios'!I10*$E$130)+20*2*2*$B$69+30*(1/3600*$B$55+5/3600*$B$56)-$B$58)+IF(AND(('PPTO Vtas Servicios'!I7*$B$120+'PPTO Vtas Servicios'!I8*$C$120+'PPTO Vtas Servicios'!I9*$D$120+'PPTO Vtas Servicios'!I10*$E$120)&lt;=1000000,('PPTO Vtas Servicios'!I7*$B$119+'PPTO Vtas Servicios'!I8*$C$119+'PPTO Vtas Servicios'!I9*$D$119+'PPTO Vtas Servicios'!I10*$E$119)&lt;=1000),0,IF(('PPTO Vtas Servicios'!I7*$B$120+'PPTO Vtas Servicios'!I8*$C$120+'PPTO Vtas Servicios'!I9*$D$120+'PPTO Vtas Servicios'!I10*$E$120)&lt;=10000000,20,IF(('PPTO Vtas Servicios'!I7*$B$120+'PPTO Vtas Servicios'!I8*$C$120+'PPTO Vtas Servicios'!I9*$D$120+'PPTO Vtas Servicios'!I10*$E$120)&lt;=50000000,100,300)))+MAX(0,ROUNDUP(('PPTO Vtas Servicios'!I7*$B$36+'PPTO Vtas Servicios'!I8*$C$36+'PPTO Vtas Servicios'!I9*$D$36+'PPTO Vtas Servicios'!I10*$E$36)/5000,0)-1)*$B$62+IF(('PPTO Vtas Servicios'!I7*$B$36+'PPTO Vtas Servicios'!I8*$C$36+'PPTO Vtas Servicios'!I9*$D$36+'PPTO Vtas Servicios'!I10*$E$36)&gt;5000,32-$B$61,0))*$B$51,2)</f>
        <v>10000.0</v>
      </c>
      <c r="D144" s="94">
        <f>B144+C144</f>
        <v>10000.0</v>
      </c>
      <c r="E144" s="93">
        <f>('PPTO Vtas Servicios'!I7*$B$36+'PPTO Vtas Servicios'!I8*$C$36+'PPTO Vtas Servicios'!I9*$D$36+'PPTO Vtas Servicios'!I10*$E$36)</f>
        <v>1880.0</v>
      </c>
    </row>
    <row r="145" ht="30" customHeight="1" s="61">
      <c r="A145" s="93" t="n">
        <v>8</v>
      </c>
      <c r="B145" s="94">
        <f>ROUND((MAX(0,('PPTO Vtas Servicios'!J7*$B$117+'PPTO Vtas Servicios'!J8*$C$117+'PPTO Vtas Servicios'!J9*$D$117+'PPTO Vtas Servicios'!J10*$E$117)-100)*$B$53+MAX(0,('PPTO Vtas Servicios'!J7*$B$118+'PPTO Vtas Servicios'!J8*$C$118+'PPTO Vtas Servicios'!J9*$D$118+'PPTO Vtas Servicios'!J10*$E$118)-250)*$B$52+(MAX(0,ROUNDUP((('PPTO Vtas Servicios'!J7*$B$116+'PPTO Vtas Servicios'!J8*$C$116)+('PPTO Vtas Servicios'!J9*$D$116+'PPTO Vtas Servicios'!J10*$E$116)*0.05)*2,0)-8)+('PPTO Vtas Servicios'!J7*$B$131+'PPTO Vtas Servicios'!J8*$C$131+'PPTO Vtas Servicios'!J9*$D$131+'PPTO Vtas Servicios'!J10*$E$131))*$B$54+IF(('PPTO Vtas Servicios'!J7*$B$36+'PPTO Vtas Servicios'!J8*$C$36)&lt;=2000,10,IF(('PPTO Vtas Servicios'!J7*$B$36+'PPTO Vtas Servicios'!J8*$C$36)&lt;=5000,15,IF(('PPTO Vtas Servicios'!J7*$B$36+'PPTO Vtas Servicios'!J8*$C$36)&lt;=10000,60,110)))-10)*$B$51,2)</f>
        <v>2500.0</v>
      </c>
      <c r="C145" s="94">
        <f>ROUND((MAX(0,('PPTO Vtas Servicios'!J7*$B$130+'PPTO Vtas Servicios'!J8*$C$130+'PPTO Vtas Servicios'!J9*$D$130+'PPTO Vtas Servicios'!J10*$E$130)+20*2*2*$B$69+30*(1/3600*$B$55+5/3600*$B$56)-$B$58)+IF(AND(('PPTO Vtas Servicios'!J7*$B$120+'PPTO Vtas Servicios'!J8*$C$120+'PPTO Vtas Servicios'!J9*$D$120+'PPTO Vtas Servicios'!J10*$E$120)&lt;=1000000,('PPTO Vtas Servicios'!J7*$B$119+'PPTO Vtas Servicios'!J8*$C$119+'PPTO Vtas Servicios'!J9*$D$119+'PPTO Vtas Servicios'!J10*$E$119)&lt;=1000),0,IF(('PPTO Vtas Servicios'!J7*$B$120+'PPTO Vtas Servicios'!J8*$C$120+'PPTO Vtas Servicios'!J9*$D$120+'PPTO Vtas Servicios'!J10*$E$120)&lt;=10000000,20,IF(('PPTO Vtas Servicios'!J7*$B$120+'PPTO Vtas Servicios'!J8*$C$120+'PPTO Vtas Servicios'!J9*$D$120+'PPTO Vtas Servicios'!J10*$E$120)&lt;=50000000,100,300)))+MAX(0,ROUNDUP(('PPTO Vtas Servicios'!J7*$B$36+'PPTO Vtas Servicios'!J8*$C$36+'PPTO Vtas Servicios'!J9*$D$36+'PPTO Vtas Servicios'!J10*$E$36)/5000,0)-1)*$B$62+IF(('PPTO Vtas Servicios'!J7*$B$36+'PPTO Vtas Servicios'!J8*$C$36+'PPTO Vtas Servicios'!J9*$D$36+'PPTO Vtas Servicios'!J10*$E$36)&gt;5000,32-$B$61,0))*$B$51,2)</f>
        <v>10000.0</v>
      </c>
      <c r="D145" s="94">
        <f>B145+C145</f>
        <v>12500.0</v>
      </c>
      <c r="E145" s="93">
        <f>('PPTO Vtas Servicios'!J7*$B$36+'PPTO Vtas Servicios'!J8*$C$36+'PPTO Vtas Servicios'!J9*$D$36+'PPTO Vtas Servicios'!J10*$E$36)</f>
        <v>2080.0</v>
      </c>
    </row>
    <row r="146" ht="30" customHeight="1" s="61">
      <c r="A146" s="93" t="n">
        <v>9</v>
      </c>
      <c r="B146" s="94">
        <f>ROUND((MAX(0,('PPTO Vtas Servicios'!K7*$B$117+'PPTO Vtas Servicios'!K8*$C$117+'PPTO Vtas Servicios'!K9*$D$117+'PPTO Vtas Servicios'!K10*$E$117)-100)*$B$53+MAX(0,('PPTO Vtas Servicios'!K7*$B$118+'PPTO Vtas Servicios'!K8*$C$118+'PPTO Vtas Servicios'!K9*$D$118+'PPTO Vtas Servicios'!K10*$E$118)-250)*$B$52+(MAX(0,ROUNDUP((('PPTO Vtas Servicios'!K7*$B$116+'PPTO Vtas Servicios'!K8*$C$116)+('PPTO Vtas Servicios'!K9*$D$116+'PPTO Vtas Servicios'!K10*$E$116)*0.05)*2,0)-8)+('PPTO Vtas Servicios'!K7*$B$131+'PPTO Vtas Servicios'!K8*$C$131+'PPTO Vtas Servicios'!K9*$D$131+'PPTO Vtas Servicios'!K10*$E$131))*$B$54+IF(('PPTO Vtas Servicios'!K7*$B$36+'PPTO Vtas Servicios'!K8*$C$36)&lt;=2000,10,IF(('PPTO Vtas Servicios'!K7*$B$36+'PPTO Vtas Servicios'!K8*$C$36)&lt;=5000,15,IF(('PPTO Vtas Servicios'!K7*$B$36+'PPTO Vtas Servicios'!K8*$C$36)&lt;=10000,60,110)))-10)*$B$51,2)</f>
        <v>2500.0</v>
      </c>
      <c r="C146" s="94">
        <f>ROUND((MAX(0,('PPTO Vtas Servicios'!K7*$B$130+'PPTO Vtas Servicios'!K8*$C$130+'PPTO Vtas Servicios'!K9*$D$130+'PPTO Vtas Servicios'!K10*$E$130)+20*2*2*$B$69+30*(1/3600*$B$55+5/3600*$B$56)-$B$58)+IF(AND(('PPTO Vtas Servicios'!K7*$B$120+'PPTO Vtas Servicios'!K8*$C$120+'PPTO Vtas Servicios'!K9*$D$120+'PPTO Vtas Servicios'!K10*$E$120)&lt;=1000000,('PPTO Vtas Servicios'!K7*$B$119+'PPTO Vtas Servicios'!K8*$C$119+'PPTO Vtas Servicios'!K9*$D$119+'PPTO Vtas Servicios'!K10*$E$119)&lt;=1000),0,IF(('PPTO Vtas Servicios'!K7*$B$120+'PPTO Vtas Servicios'!K8*$C$120+'PPTO Vtas Servicios'!K9*$D$120+'PPTO Vtas Servicios'!K10*$E$120)&lt;=10000000,20,IF(('PPTO Vtas Servicios'!K7*$B$120+'PPTO Vtas Servicios'!K8*$C$120+'PPTO Vtas Servicios'!K9*$D$120+'PPTO Vtas Servicios'!K10*$E$120)&lt;=50000000,100,300)))+MAX(0,ROUNDUP(('PPTO Vtas Servicios'!K7*$B$36+'PPTO Vtas Servicios'!K8*$C$36+'PPTO Vtas Servicios'!K9*$D$36+'PPTO Vtas Servicios'!K10*$E$36)/5000,0)-1)*$B$62+IF(('PPTO Vtas Servicios'!K7*$B$36+'PPTO Vtas Servicios'!K8*$C$36+'PPTO Vtas Servicios'!K9*$D$36+'PPTO Vtas Servicios'!K10*$E$36)&gt;5000,32-$B$61,0))*$B$51,2)</f>
        <v>10000.0</v>
      </c>
      <c r="D146" s="94">
        <f>B146+C146</f>
        <v>12500.0</v>
      </c>
      <c r="E146" s="93">
        <f>('PPTO Vtas Servicios'!K7*$B$36+'PPTO Vtas Servicios'!K8*$C$36+'PPTO Vtas Servicios'!K9*$D$36+'PPTO Vtas Servicios'!K10*$E$36)</f>
        <v>2280.0</v>
      </c>
    </row>
    <row r="147" ht="30" customHeight="1" s="61">
      <c r="A147" s="93" t="n">
        <v>10</v>
      </c>
      <c r="B147" s="94">
        <f>ROUND((MAX(0,('PPTO Vtas Servicios'!L7*$B$117+'PPTO Vtas Servicios'!L8*$C$117+'PPTO Vtas Servicios'!L9*$D$117+'PPTO Vtas Servicios'!L10*$E$117)-100)*$B$53+MAX(0,('PPTO Vtas Servicios'!L7*$B$118+'PPTO Vtas Servicios'!L8*$C$118+'PPTO Vtas Servicios'!L9*$D$118+'PPTO Vtas Servicios'!L10*$E$118)-250)*$B$52+(MAX(0,ROUNDUP((('PPTO Vtas Servicios'!L7*$B$116+'PPTO Vtas Servicios'!L8*$C$116)+('PPTO Vtas Servicios'!L9*$D$116+'PPTO Vtas Servicios'!L10*$E$116)*0.05)*2,0)-8)+('PPTO Vtas Servicios'!L7*$B$131+'PPTO Vtas Servicios'!L8*$C$131+'PPTO Vtas Servicios'!L9*$D$131+'PPTO Vtas Servicios'!L10*$E$131))*$B$54+IF(('PPTO Vtas Servicios'!L7*$B$36+'PPTO Vtas Servicios'!L8*$C$36)&lt;=2000,10,IF(('PPTO Vtas Servicios'!L7*$B$36+'PPTO Vtas Servicios'!L8*$C$36)&lt;=5000,15,IF(('PPTO Vtas Servicios'!L7*$B$36+'PPTO Vtas Servicios'!L8*$C$36)&lt;=10000,60,110)))-10)*$B$51,2)</f>
        <v>2500.0</v>
      </c>
      <c r="C147" s="94">
        <f>ROUND((MAX(0,('PPTO Vtas Servicios'!L7*$B$130+'PPTO Vtas Servicios'!L8*$C$130+'PPTO Vtas Servicios'!L9*$D$130+'PPTO Vtas Servicios'!L10*$E$130)+20*2*2*$B$69+30*(1/3600*$B$55+5/3600*$B$56)-$B$58)+IF(AND(('PPTO Vtas Servicios'!L7*$B$120+'PPTO Vtas Servicios'!L8*$C$120+'PPTO Vtas Servicios'!L9*$D$120+'PPTO Vtas Servicios'!L10*$E$120)&lt;=1000000,('PPTO Vtas Servicios'!L7*$B$119+'PPTO Vtas Servicios'!L8*$C$119+'PPTO Vtas Servicios'!L9*$D$119+'PPTO Vtas Servicios'!L10*$E$119)&lt;=1000),0,IF(('PPTO Vtas Servicios'!L7*$B$120+'PPTO Vtas Servicios'!L8*$C$120+'PPTO Vtas Servicios'!L9*$D$120+'PPTO Vtas Servicios'!L10*$E$120)&lt;=10000000,20,IF(('PPTO Vtas Servicios'!L7*$B$120+'PPTO Vtas Servicios'!L8*$C$120+'PPTO Vtas Servicios'!L9*$D$120+'PPTO Vtas Servicios'!L10*$E$120)&lt;=50000000,100,300)))+MAX(0,ROUNDUP(('PPTO Vtas Servicios'!L7*$B$36+'PPTO Vtas Servicios'!L8*$C$36+'PPTO Vtas Servicios'!L9*$D$36+'PPTO Vtas Servicios'!L10*$E$36)/5000,0)-1)*$B$62+IF(('PPTO Vtas Servicios'!L7*$B$36+'PPTO Vtas Servicios'!L8*$C$36+'PPTO Vtas Servicios'!L9*$D$36+'PPTO Vtas Servicios'!L10*$E$36)&gt;5000,32-$B$61,0))*$B$51,2)</f>
        <v>10000.0</v>
      </c>
      <c r="D147" s="94">
        <f>B147+C147</f>
        <v>12500.0</v>
      </c>
      <c r="E147" s="93">
        <f>('PPTO Vtas Servicios'!L7*$B$36+'PPTO Vtas Servicios'!L8*$C$36+'PPTO Vtas Servicios'!L9*$D$36+'PPTO Vtas Servicios'!L10*$E$36)</f>
        <v>2280.0</v>
      </c>
    </row>
    <row r="148" ht="30" customHeight="1" s="61">
      <c r="A148" s="93" t="n">
        <v>11</v>
      </c>
      <c r="B148" s="94">
        <f>ROUND((MAX(0,('PPTO Vtas Servicios'!M7*$B$117+'PPTO Vtas Servicios'!M8*$C$117+'PPTO Vtas Servicios'!M9*$D$117+'PPTO Vtas Servicios'!M10*$E$117)-100)*$B$53+MAX(0,('PPTO Vtas Servicios'!M7*$B$118+'PPTO Vtas Servicios'!M8*$C$118+'PPTO Vtas Servicios'!M9*$D$118+'PPTO Vtas Servicios'!M10*$E$118)-250)*$B$52+(MAX(0,ROUNDUP((('PPTO Vtas Servicios'!M7*$B$116+'PPTO Vtas Servicios'!M8*$C$116)+('PPTO Vtas Servicios'!M9*$D$116+'PPTO Vtas Servicios'!M10*$E$116)*0.05)*2,0)-8)+('PPTO Vtas Servicios'!M7*$B$131+'PPTO Vtas Servicios'!M8*$C$131+'PPTO Vtas Servicios'!M9*$D$131+'PPTO Vtas Servicios'!M10*$E$131))*$B$54+IF(('PPTO Vtas Servicios'!M7*$B$36+'PPTO Vtas Servicios'!M8*$C$36)&lt;=2000,10,IF(('PPTO Vtas Servicios'!M7*$B$36+'PPTO Vtas Servicios'!M8*$C$36)&lt;=5000,15,IF(('PPTO Vtas Servicios'!M7*$B$36+'PPTO Vtas Servicios'!M8*$C$36)&lt;=10000,60,110)))-10)*$B$51,2)</f>
        <v>2500.0</v>
      </c>
      <c r="C148" s="94">
        <f>ROUND((MAX(0,('PPTO Vtas Servicios'!M7*$B$130+'PPTO Vtas Servicios'!M8*$C$130+'PPTO Vtas Servicios'!M9*$D$130+'PPTO Vtas Servicios'!M10*$E$130)+20*2*2*$B$69+30*(1/3600*$B$55+5/3600*$B$56)-$B$58)+IF(AND(('PPTO Vtas Servicios'!M7*$B$120+'PPTO Vtas Servicios'!M8*$C$120+'PPTO Vtas Servicios'!M9*$D$120+'PPTO Vtas Servicios'!M10*$E$120)&lt;=1000000,('PPTO Vtas Servicios'!M7*$B$119+'PPTO Vtas Servicios'!M8*$C$119+'PPTO Vtas Servicios'!M9*$D$119+'PPTO Vtas Servicios'!M10*$E$119)&lt;=1000),0,IF(('PPTO Vtas Servicios'!M7*$B$120+'PPTO Vtas Servicios'!M8*$C$120+'PPTO Vtas Servicios'!M9*$D$120+'PPTO Vtas Servicios'!M10*$E$120)&lt;=10000000,20,IF(('PPTO Vtas Servicios'!M7*$B$120+'PPTO Vtas Servicios'!M8*$C$120+'PPTO Vtas Servicios'!M9*$D$120+'PPTO Vtas Servicios'!M10*$E$120)&lt;=50000000,100,300)))+MAX(0,ROUNDUP(('PPTO Vtas Servicios'!M7*$B$36+'PPTO Vtas Servicios'!M8*$C$36+'PPTO Vtas Servicios'!M9*$D$36+'PPTO Vtas Servicios'!M10*$E$36)/5000,0)-1)*$B$62+IF(('PPTO Vtas Servicios'!M7*$B$36+'PPTO Vtas Servicios'!M8*$C$36+'PPTO Vtas Servicios'!M9*$D$36+'PPTO Vtas Servicios'!M10*$E$36)&gt;5000,32-$B$61,0))*$B$51,2)</f>
        <v>10000.0</v>
      </c>
      <c r="D148" s="94">
        <f>B148+C148</f>
        <v>12500.0</v>
      </c>
      <c r="E148" s="93">
        <f>('PPTO Vtas Servicios'!M7*$B$36+'PPTO Vtas Servicios'!M8*$C$36+'PPTO Vtas Servicios'!M9*$D$36+'PPTO Vtas Servicios'!M10*$E$36)</f>
        <v>2480.0</v>
      </c>
    </row>
    <row r="149" ht="30" customHeight="1" s="61">
      <c r="A149" s="93" t="n">
        <v>12</v>
      </c>
      <c r="B149" s="94">
        <f>ROUND((MAX(0,('PPTO Vtas Servicios'!N7*$B$117+'PPTO Vtas Servicios'!N8*$C$117+'PPTO Vtas Servicios'!N9*$D$117+'PPTO Vtas Servicios'!N10*$E$117)-100)*$B$53+MAX(0,('PPTO Vtas Servicios'!N7*$B$118+'PPTO Vtas Servicios'!N8*$C$118+'PPTO Vtas Servicios'!N9*$D$118+'PPTO Vtas Servicios'!N10*$E$118)-250)*$B$52+(MAX(0,ROUNDUP((('PPTO Vtas Servicios'!N7*$B$116+'PPTO Vtas Servicios'!N8*$C$116)+('PPTO Vtas Servicios'!N9*$D$116+'PPTO Vtas Servicios'!N10*$E$116)*0.05)*2,0)-8)+('PPTO Vtas Servicios'!N7*$B$131+'PPTO Vtas Servicios'!N8*$C$131+'PPTO Vtas Servicios'!N9*$D$131+'PPTO Vtas Servicios'!N10*$E$131))*$B$54+IF(('PPTO Vtas Servicios'!N7*$B$36+'PPTO Vtas Servicios'!N8*$C$36)&lt;=2000,10,IF(('PPTO Vtas Servicios'!N7*$B$36+'PPTO Vtas Servicios'!N8*$C$36)&lt;=5000,15,IF(('PPTO Vtas Servicios'!N7*$B$36+'PPTO Vtas Servicios'!N8*$C$36)&lt;=10000,60,110)))-10)*$B$51,2)</f>
        <v>2500.0</v>
      </c>
      <c r="C149" s="94">
        <f>ROUND((MAX(0,('PPTO Vtas Servicios'!N7*$B$130+'PPTO Vtas Servicios'!N8*$C$130+'PPTO Vtas Servicios'!N9*$D$130+'PPTO Vtas Servicios'!N10*$E$130)+20*2*2*$B$69+30*(1/3600*$B$55+5/3600*$B$56)-$B$58)+IF(AND(('PPTO Vtas Servicios'!N7*$B$120+'PPTO Vtas Servicios'!N8*$C$120+'PPTO Vtas Servicios'!N9*$D$120+'PPTO Vtas Servicios'!N10*$E$120)&lt;=1000000,('PPTO Vtas Servicios'!N7*$B$119+'PPTO Vtas Servicios'!N8*$C$119+'PPTO Vtas Servicios'!N9*$D$119+'PPTO Vtas Servicios'!N10*$E$119)&lt;=1000),0,IF(('PPTO Vtas Servicios'!N7*$B$120+'PPTO Vtas Servicios'!N8*$C$120+'PPTO Vtas Servicios'!N9*$D$120+'PPTO Vtas Servicios'!N10*$E$120)&lt;=10000000,20,IF(('PPTO Vtas Servicios'!N7*$B$120+'PPTO Vtas Servicios'!N8*$C$120+'PPTO Vtas Servicios'!N9*$D$120+'PPTO Vtas Servicios'!N10*$E$120)&lt;=50000000,100,300)))+MAX(0,ROUNDUP(('PPTO Vtas Servicios'!N7*$B$36+'PPTO Vtas Servicios'!N8*$C$36+'PPTO Vtas Servicios'!N9*$D$36+'PPTO Vtas Servicios'!N10*$E$36)/5000,0)-1)*$B$62+IF(('PPTO Vtas Servicios'!N7*$B$36+'PPTO Vtas Servicios'!N8*$C$36+'PPTO Vtas Servicios'!N9*$D$36+'PPTO Vtas Servicios'!N10*$E$36)&gt;5000,32-$B$61,0))*$B$51,2)</f>
        <v>10000.0</v>
      </c>
      <c r="D149" s="94">
        <f>B149+C149</f>
        <v>12500.0</v>
      </c>
      <c r="E149" s="93">
        <f>('PPTO Vtas Servicios'!N7*$B$36+'PPTO Vtas Servicios'!N8*$C$36+'PPTO Vtas Servicios'!N9*$D$36+'PPTO Vtas Servicios'!N10*$E$36)</f>
        <v>2680.0</v>
      </c>
    </row>
    <row r="150" ht="7.95" customHeight="1" s="61"/>
    <row r="151" ht="7.95" customHeight="1" s="61"/>
    <row r="152" ht="30" customHeight="1" s="61">
      <c r="A152" s="68" t="inlineStr">
        <is>
          <t>DECISIONES Y FUENTES | no son mediciones de producción</t>
        </is>
      </c>
      <c r="B152" s="87" t="n"/>
      <c r="C152" s="87" t="n"/>
      <c r="D152" s="87" t="n"/>
      <c r="E152" s="87" t="n"/>
    </row>
    <row r="153" ht="66" customHeight="1" s="61">
      <c r="A153" s="67" t="inlineStr">
        <is>
          <t>Supabase: una organización Pro central; Starter/Pro comparten proyecto. Premium Micro dedicado y Enterprise Small dedicado. El crédito de US$10 sólo cubre el cómputo central inicial.</t>
        </is>
      </c>
      <c r="B153" s="87" t="n"/>
      <c r="C153" s="87" t="n"/>
      <c r="D153" s="87" t="n"/>
      <c r="E153" s="87" t="n"/>
    </row>
    <row r="154" ht="66" customHeight="1" s="61">
      <c r="A154" s="67" t="inlineStr">
        <is>
          <t>Supabase: 100 GB archivos y 250 GB salida sin caché por organización. 8 GB disco por proyecto. Disco proyectado = doble de datos del año 1, redondeado a GB; mínimo incluido 8 GB.</t>
        </is>
      </c>
      <c r="B154" s="87" t="n"/>
      <c r="C154" s="87" t="n"/>
      <c r="D154" s="87" t="n"/>
      <c r="E154" s="87" t="n"/>
    </row>
    <row r="155" ht="66" customHeight="1" s="61">
      <c r="A155" s="67" t="inlineStr">
        <is>
          <t>Vercel Pro: un equipo, un puesto, frontend React y backend Django en iad1. Flat Rate CDN: 1M/1TB incluido; se presupuestan tiers de US$20/100/300 según tráfico sostenido. Origen y funciones aparte.</t>
        </is>
      </c>
      <c r="B155" s="87" t="n"/>
      <c r="C155" s="87" t="n"/>
      <c r="D155" s="87" t="n"/>
      <c r="E155" s="87" t="n"/>
    </row>
    <row r="156" ht="66" customHeight="1" s="61">
      <c r="A156" s="67" t="inlineStr">
        <is>
          <t>Vercel: crédito único US$20 aplicado a CPU, memoria, invocaciones, origen y builds. No se descuenta de la suscripción. 20 builds mensuales y una ejecución cron diaria presupuestados.</t>
        </is>
      </c>
      <c r="B156" s="87" t="n"/>
      <c r="C156" s="87" t="n"/>
      <c r="D156" s="87" t="n"/>
      <c r="E156" s="87" t="n"/>
    </row>
    <row r="157" ht="66" customHeight="1" s="61">
      <c r="A157" s="67" t="inlineStr">
        <is>
          <t>Tareas: Vercel Cron programa; Celery worker Render 1 CPU/2GB procesa y Redis compatible 256MB mantiene cola/cache. Sin Celery Beat adicional, para no duplicar el programador.</t>
        </is>
      </c>
      <c r="B157" s="87" t="n"/>
      <c r="C157" s="87" t="n"/>
      <c r="D157" s="87" t="n"/>
      <c r="E157" s="87" t="n"/>
    </row>
    <row r="158" ht="66" customHeight="1" s="61">
      <c r="A158" s="67" t="inlineStr">
        <is>
          <t>Escala de presupuesto: un worker por cada 5 000 miembros; Redis pasa a 1GB/US$32 al superarlos. Proyecto central Micro hasta 2 000, Small hasta 5 000, Medium hasta 10 000; después Large. Son disparadores financieros, no capacidad certificada.</t>
        </is>
      </c>
      <c r="B158" s="87" t="n"/>
      <c r="C158" s="87" t="n"/>
      <c r="D158" s="87" t="n"/>
      <c r="E158" s="87" t="n"/>
    </row>
    <row r="159" ht="66" customHeight="1" s="61">
      <c r="A159" s="67" t="inlineStr">
        <is>
          <t>Correos: Amazon SES Essentials US$0,16/1 000 destinatarios +US$0,12/GB. Dos avisos por miembro y 20 correos administrativos por gimnasio/mes; 32 KB. Configuración e integración incluidas en desarrollo.</t>
        </is>
      </c>
      <c r="B159" s="87" t="n"/>
      <c r="C159" s="87" t="n"/>
      <c r="D159" s="87" t="n"/>
      <c r="E159" s="87" t="n"/>
    </row>
    <row r="160" ht="66" customHeight="1" s="61">
      <c r="A160" s="67" t="inlineStr">
        <is>
          <t>Cobro: transferencia del gimnasio a Pulso; quien transfiere asume su cargo bancario. Pulso registra pagos de miembros, no los procesa. Cero comisión de pasarela por este alcance; no afirma gratuidad bancaria universal.</t>
        </is>
      </c>
      <c r="B160" s="87" t="n"/>
      <c r="C160" s="87" t="n"/>
      <c r="D160" s="87" t="n"/>
      <c r="E160" s="87" t="n"/>
    </row>
    <row r="161" ht="66" customHeight="1" s="61">
      <c r="A161" s="67" t="inlineStr">
        <is>
          <t>IA: GPT-4.1 mini, US$0,40 entrada y US$1,60 salida por millón de tokens. Dos respuestas por miembro/mes. Cuotas, contexto y límites de archivos requieren implementación presupuestada.</t>
        </is>
      </c>
      <c r="B161" s="87" t="n"/>
      <c r="C161" s="87" t="n"/>
      <c r="D161" s="87" t="n"/>
      <c r="E161" s="87" t="n"/>
    </row>
    <row r="162" ht="66" customHeight="1" s="61">
      <c r="A162" s="67" t="inlineStr">
        <is>
          <t>Instalación: básica 8 h sin cobro; Premium 18 h y Enterprise 36 h a referencia MTSS. Precios conservados: ₡129 000 y ₡258 000; margen efectivo recalculado.</t>
        </is>
      </c>
      <c r="B162" s="87" t="n"/>
      <c r="C162" s="87" t="n"/>
      <c r="D162" s="87" t="n"/>
      <c r="E162" s="87" t="n"/>
    </row>
    <row r="163" ht="66" customHeight="1" s="61">
      <c r="A163" s="67" t="inlineStr">
        <is>
          <t>Viáticos: ₡40 000 mes 1 y ₡12 000/mes después; estimaciones, no tarifas oficiales. Trabajo del equipo sin desembolso. Renta 0 solo bajo formalización MYPE y requisitos.</t>
        </is>
      </c>
      <c r="B163" s="87" t="n"/>
      <c r="C163" s="87" t="n"/>
      <c r="D163" s="87" t="n"/>
      <c r="E163" s="87" t="n"/>
    </row>
    <row r="164" ht="66" customHeight="1" s="61">
      <c r="A164" s="67" t="inlineStr">
        <is>
          <t>Meta comercial: 1 Starter +4 Pro al inicio; desde mes 2, un Pro nuevo al mes. Una baja Pro en meses 6 y 10; se cobra el mes completo. Cierre: 1 Starter +13 Pro. No son ventas confirmadas.</t>
        </is>
      </c>
      <c r="B164" s="87" t="n"/>
      <c r="C164" s="87" t="n"/>
      <c r="D164" s="87" t="n"/>
      <c r="E164" s="87" t="n"/>
    </row>
    <row r="165" ht="66" customHeight="1" s="61">
      <c r="A165" s="67" t="inlineStr">
        <is>
          <t>Nube se calcula por cartera y se carga una vez. La comparación por plan usa el reparto del mes 1; el presupuesto mensual aplica excedentes propios de cada mes. No repetir las cuotas por gimnasio.</t>
        </is>
      </c>
      <c r="B165" s="87" t="n"/>
      <c r="C165" s="87" t="n"/>
      <c r="D165" s="87" t="n"/>
      <c r="E165" s="87" t="n"/>
    </row>
    <row r="166" ht="66" customHeight="1" s="61">
      <c r="A166" s="67" t="inlineStr">
        <is>
          <t>Desarrollo 96 h × hora MTSS: costo económico único en mes 1; aporte de trabajo sin pago ni deuda. Captación: 36 h mes 1 y 12 h/mes posteriores, además del mantenimiento.</t>
        </is>
      </c>
      <c r="B166" s="87" t="n"/>
      <c r="C166" s="87" t="n"/>
      <c r="D166" s="87" t="n"/>
      <c r="E166" s="87" t="n"/>
    </row>
    <row r="167" ht="66" customHeight="1" s="61">
      <c r="A167" s="67" t="inlineStr">
        <is>
          <t>No se ofrecen WhatsApp/SMS, alojamiento de videos, IA ilimitada, desarrollos exclusivos ilimitados ni SLA 24/7 dentro de estos precios. Son límites del producto presupuestado, no prestaciones ya verificadas.</t>
        </is>
      </c>
      <c r="B167" s="87" t="n"/>
      <c r="C167" s="87" t="n"/>
      <c r="D167" s="87" t="n"/>
      <c r="E167" s="87" t="n"/>
    </row>
    <row r="168" ht="7.95" customHeight="1" s="61"/>
    <row r="169" ht="7.95" customHeight="1" s="61"/>
    <row r="170" ht="7.95" customHeight="1" s="61"/>
    <row r="171" ht="7.95" customHeight="1" s="61"/>
    <row r="172" ht="7.95" customHeight="1" s="61"/>
    <row r="173" ht="30" customHeight="1" s="61">
      <c r="A173" s="68" t="inlineStr">
        <is>
          <t>DESARROLLO | alcance y horas estimadas una sola vez</t>
        </is>
      </c>
      <c r="B173" s="87" t="n"/>
      <c r="C173" s="87" t="n"/>
      <c r="D173" s="87" t="n"/>
      <c r="E173" s="87" t="n"/>
    </row>
    <row r="174" ht="30" customHeight="1" s="61">
      <c r="A174" s="41" t="inlineStr">
        <is>
          <t>Actividad</t>
        </is>
      </c>
      <c r="B174" s="41" t="inlineStr">
        <is>
          <t>Horas</t>
        </is>
      </c>
      <c r="C174" s="41" t="inlineStr">
        <is>
          <t>CRC/hora</t>
        </is>
      </c>
      <c r="D174" s="41" t="inlineStr">
        <is>
          <t>Origen</t>
        </is>
      </c>
      <c r="E174" s="41" t="inlineStr">
        <is>
          <t>Costo CRC</t>
        </is>
      </c>
    </row>
    <row r="175" ht="43.95" customHeight="1" s="61">
      <c r="A175" s="41" t="inlineStr">
        <is>
          <t>Separación multi-tenant y permisos</t>
        </is>
      </c>
      <c r="B175" s="93" t="n">
        <v>24</v>
      </c>
      <c r="C175" s="94">
        <f>$B$50</f>
        <v>2070.159041666667</v>
      </c>
      <c r="D175" s="41" t="inlineStr">
        <is>
          <t>Estimación interna</t>
        </is>
      </c>
      <c r="E175" s="94">
        <f>B175*C175</f>
        <v>49683.817</v>
      </c>
    </row>
    <row r="176" ht="43.95" customHeight="1" s="61">
      <c r="A176" s="41" t="inlineStr">
        <is>
          <t>Autenticación/ruteo a base dedicada</t>
        </is>
      </c>
      <c r="B176" s="93" t="n">
        <v>24</v>
      </c>
      <c r="C176" s="94">
        <f>$B$50</f>
        <v>2070.159041666667</v>
      </c>
      <c r="D176" s="41" t="inlineStr">
        <is>
          <t>Estimación interna</t>
        </is>
      </c>
      <c r="E176" s="94">
        <f>B176*C176</f>
        <v>49683.817</v>
      </c>
    </row>
    <row r="177" ht="43.95" customHeight="1" s="61">
      <c r="A177" s="41" t="inlineStr">
        <is>
          <t>Marca y subdominios configurables</t>
        </is>
      </c>
      <c r="B177" s="93" t="n">
        <v>12</v>
      </c>
      <c r="C177" s="94">
        <f>$B$50</f>
        <v>2070.159041666667</v>
      </c>
      <c r="D177" s="41" t="inlineStr">
        <is>
          <t>Estimación interna</t>
        </is>
      </c>
      <c r="E177" s="94">
        <f>B177*C177</f>
        <v>24841.9085</v>
      </c>
    </row>
    <row r="178" ht="43.95" customHeight="1" s="61">
      <c r="A178" s="41" t="inlineStr">
        <is>
          <t>Cupos de archivos, IA y contexto</t>
        </is>
      </c>
      <c r="B178" s="93" t="n">
        <v>8</v>
      </c>
      <c r="C178" s="94">
        <f>$B$50</f>
        <v>2070.159041666667</v>
      </c>
      <c r="D178" s="41" t="inlineStr">
        <is>
          <t>Estimación interna</t>
        </is>
      </c>
      <c r="E178" s="94">
        <f>B178*C178</f>
        <v>16561.272333333334</v>
      </c>
    </row>
    <row r="179" ht="43.95" customHeight="1" s="61">
      <c r="A179" s="41" t="inlineStr">
        <is>
          <t>SES, Redis, worker y tareas</t>
        </is>
      </c>
      <c r="B179" s="93" t="n">
        <v>12</v>
      </c>
      <c r="C179" s="94">
        <f>$B$50</f>
        <v>2070.159041666667</v>
      </c>
      <c r="D179" s="41" t="inlineStr">
        <is>
          <t>Estimación interna</t>
        </is>
      </c>
      <c r="E179" s="94">
        <f>B179*C179</f>
        <v>24841.9085</v>
      </c>
    </row>
    <row r="180" ht="43.95" customHeight="1" s="61">
      <c r="A180" s="41" t="inlineStr">
        <is>
          <t>Pruebas de aislamiento, carga y entrega</t>
        </is>
      </c>
      <c r="B180" s="93" t="n">
        <v>16</v>
      </c>
      <c r="C180" s="94">
        <f>$B$50</f>
        <v>2070.159041666667</v>
      </c>
      <c r="D180" s="41" t="inlineStr">
        <is>
          <t>Estimación interna</t>
        </is>
      </c>
      <c r="E180" s="94">
        <f>B180*C180</f>
        <v>33122.54466666667</v>
      </c>
    </row>
    <row r="181" ht="30" customHeight="1" s="61"/>
    <row r="182" ht="31.95" customHeight="1" s="61">
      <c r="A182" s="70" t="inlineStr">
        <is>
          <t>RECUPERACIÓN ECONÓMICA | incluye altas y desarrollo</t>
        </is>
      </c>
      <c r="B182" s="95" t="n"/>
      <c r="C182" s="95" t="n"/>
      <c r="D182" s="95" t="n"/>
      <c r="E182" s="95" t="n"/>
    </row>
    <row r="183" ht="31.95" customHeight="1" s="61">
      <c r="A183" s="45" t="inlineStr">
        <is>
          <t>Mes</t>
        </is>
      </c>
      <c r="B183" s="45" t="inlineStr">
        <is>
          <t>Ingresos CRC</t>
        </is>
      </c>
      <c r="C183" s="45" t="inlineStr">
        <is>
          <t>Costos CRC</t>
        </is>
      </c>
      <c r="D183" s="45" t="inlineStr">
        <is>
          <t>Acumulado CRC</t>
        </is>
      </c>
      <c r="E183" s="45" t="inlineStr">
        <is>
          <t>Mes recuperado</t>
        </is>
      </c>
    </row>
    <row r="184" ht="31.95" customHeight="1" s="61">
      <c r="A184" s="46" t="n">
        <v>1</v>
      </c>
      <c r="B184" s="96">
        <f>'PPTO Vtas Servicios'!C24</f>
        <v>115000.0</v>
      </c>
      <c r="C184" s="96">
        <f>'PPTO Vtas Servicios'!C37</f>
        <v>480631.1789375</v>
      </c>
      <c r="D184" s="96">
        <f>B184-C184</f>
        <v>-365631.1789375</v>
      </c>
      <c r="E184" s="97">
        <f>IF(D184&gt;=0,A184,999)</f>
        <v>999</v>
      </c>
    </row>
    <row r="185" ht="31.95" customHeight="1" s="61">
      <c r="A185" s="46" t="n">
        <v>2</v>
      </c>
      <c r="B185" s="96">
        <f>'PPTO Vtas Servicios'!D24</f>
        <v>140000.0</v>
      </c>
      <c r="C185" s="96">
        <f>'PPTO Vtas Servicios'!D37</f>
        <v>139452.494125</v>
      </c>
      <c r="D185" s="96">
        <f>B185-C185+D184</f>
        <v>-365083.67306249996</v>
      </c>
      <c r="E185" s="97">
        <f>IF(D185&gt;=0,A185,999)</f>
        <v>999</v>
      </c>
    </row>
    <row r="186" ht="31.95" customHeight="1" s="61">
      <c r="A186" s="46" t="n">
        <v>3</v>
      </c>
      <c r="B186" s="96">
        <f>'PPTO Vtas Servicios'!E24</f>
        <v>165000.0</v>
      </c>
      <c r="C186" s="96">
        <f>'PPTO Vtas Servicios'!E37</f>
        <v>140937.98364583333</v>
      </c>
      <c r="D186" s="96">
        <f>B186-C186+D185</f>
        <v>-341021.6567083333</v>
      </c>
      <c r="E186" s="97">
        <f>IF(D186&gt;=0,A186,999)</f>
        <v>999</v>
      </c>
    </row>
    <row r="187" ht="31.95" customHeight="1" s="61">
      <c r="A187" s="46" t="n">
        <v>4</v>
      </c>
      <c r="B187" s="96">
        <f>'PPTO Vtas Servicios'!F24</f>
        <v>190000.0</v>
      </c>
      <c r="C187" s="96">
        <f>'PPTO Vtas Servicios'!F37</f>
        <v>152423.4731666667</v>
      </c>
      <c r="D187" s="96">
        <f>B187-C187+D186</f>
        <v>-303445.129875</v>
      </c>
      <c r="E187" s="97">
        <f>IF(D187&gt;=0,A187,999)</f>
        <v>999</v>
      </c>
    </row>
    <row r="188" ht="31.95" customHeight="1" s="61">
      <c r="A188" s="46" t="n">
        <v>5</v>
      </c>
      <c r="B188" s="96">
        <f>'PPTO Vtas Servicios'!G24</f>
        <v>215000.0</v>
      </c>
      <c r="C188" s="96">
        <f>'PPTO Vtas Servicios'!G37</f>
        <v>153908.9626875</v>
      </c>
      <c r="D188" s="96">
        <f>B188-C188+D187</f>
        <v>-242354.09256249998</v>
      </c>
      <c r="E188" s="97">
        <f>IF(D188&gt;=0,A188,999)</f>
        <v>999</v>
      </c>
    </row>
    <row r="189" ht="31.95" customHeight="1" s="61">
      <c r="A189" s="46" t="n">
        <v>6</v>
      </c>
      <c r="B189" s="96">
        <f>'PPTO Vtas Servicios'!H24</f>
        <v>215000.0</v>
      </c>
      <c r="C189" s="96">
        <f>'PPTO Vtas Servicios'!H37</f>
        <v>153908.9626875</v>
      </c>
      <c r="D189" s="96">
        <f>B189-C189+D188</f>
        <v>-181263.05524999998</v>
      </c>
      <c r="E189" s="97">
        <f>IF(D189&gt;=0,A189,999)</f>
        <v>999</v>
      </c>
    </row>
    <row r="190" ht="31.95" customHeight="1" s="61">
      <c r="A190" s="46" t="n">
        <v>7</v>
      </c>
      <c r="B190" s="96">
        <f>'PPTO Vtas Servicios'!I24</f>
        <v>240000.0</v>
      </c>
      <c r="C190" s="96">
        <f>'PPTO Vtas Servicios'!I37</f>
        <v>155394.45220833336</v>
      </c>
      <c r="D190" s="96">
        <f>B190-C190+D189</f>
        <v>-96657.50745833333</v>
      </c>
      <c r="E190" s="97">
        <f>IF(D190&gt;=0,A190,999)</f>
        <v>999</v>
      </c>
    </row>
    <row r="191" ht="31.95" customHeight="1" s="61">
      <c r="A191" s="46" t="n">
        <v>8</v>
      </c>
      <c r="B191" s="96">
        <f>'PPTO Vtas Servicios'!J24</f>
        <v>265000.0</v>
      </c>
      <c r="C191" s="96">
        <f>'PPTO Vtas Servicios'!J37</f>
        <v>159379.94172916666</v>
      </c>
      <c r="D191" s="96">
        <f>B191-C191+D190</f>
        <v>8962.550812500005</v>
      </c>
      <c r="E191" s="97">
        <f>IF(D191&gt;=0,A191,999)</f>
        <v>8</v>
      </c>
    </row>
    <row r="192" ht="31.95" customHeight="1" s="61">
      <c r="A192" s="46" t="n">
        <v>9</v>
      </c>
      <c r="B192" s="96">
        <f>'PPTO Vtas Servicios'!K24</f>
        <v>290000.0</v>
      </c>
      <c r="C192" s="96">
        <f>'PPTO Vtas Servicios'!K37</f>
        <v>160865.43125000002</v>
      </c>
      <c r="D192" s="96">
        <f>B192-C192+D191</f>
        <v>138097.11956249998</v>
      </c>
      <c r="E192" s="97">
        <f>IF(D192&gt;=0,A192,999)</f>
        <v>9</v>
      </c>
    </row>
    <row r="193" ht="31.95" customHeight="1" s="61">
      <c r="A193" s="46" t="n">
        <v>10</v>
      </c>
      <c r="B193" s="96">
        <f>'PPTO Vtas Servicios'!L24</f>
        <v>290000.0</v>
      </c>
      <c r="C193" s="96">
        <f>'PPTO Vtas Servicios'!L37</f>
        <v>160865.43125000002</v>
      </c>
      <c r="D193" s="96">
        <f>B193-C193+D192</f>
        <v>267231.68831249996</v>
      </c>
      <c r="E193" s="97">
        <f>IF(D193&gt;=0,A193,999)</f>
        <v>10</v>
      </c>
    </row>
    <row r="194" ht="31.95" customHeight="1" s="61">
      <c r="A194" s="46" t="n">
        <v>11</v>
      </c>
      <c r="B194" s="96">
        <f>'PPTO Vtas Servicios'!M24</f>
        <v>315000.0</v>
      </c>
      <c r="C194" s="96">
        <f>'PPTO Vtas Servicios'!M37</f>
        <v>162350.92077083336</v>
      </c>
      <c r="D194" s="96">
        <f>B194-C194+D193</f>
        <v>419880.76754166663</v>
      </c>
      <c r="E194" s="97">
        <f>IF(D194&gt;=0,A194,999)</f>
        <v>11</v>
      </c>
    </row>
    <row r="195" ht="31.95" customHeight="1" s="61">
      <c r="A195" s="46" t="n">
        <v>12</v>
      </c>
      <c r="B195" s="96">
        <f>'PPTO Vtas Servicios'!N24</f>
        <v>340000.0</v>
      </c>
      <c r="C195" s="96">
        <f>'PPTO Vtas Servicios'!N37</f>
        <v>163836.4102916667</v>
      </c>
      <c r="D195" s="96">
        <f>B195-C195+D194</f>
        <v>596044.3572499999</v>
      </c>
      <c r="E195" s="97">
        <f>IF(D195&gt;=0,A195,999)</f>
        <v>12</v>
      </c>
    </row>
  </sheetData>
  <mergeCells count="64">
    <mergeCell ref="A30:E30"/>
    <mergeCell ref="C54:E54"/>
    <mergeCell ref="A34:E34"/>
    <mergeCell ref="C50:E50"/>
    <mergeCell ref="A166:E166"/>
    <mergeCell ref="A157:E157"/>
    <mergeCell ref="C55:E55"/>
    <mergeCell ref="A49:E49"/>
    <mergeCell ref="A182:E182"/>
    <mergeCell ref="A1:E1"/>
    <mergeCell ref="C56:E56"/>
    <mergeCell ref="C59:E59"/>
    <mergeCell ref="A88:E88"/>
    <mergeCell ref="A173:E173"/>
    <mergeCell ref="C51:E51"/>
    <mergeCell ref="A162:E162"/>
    <mergeCell ref="A153:E153"/>
    <mergeCell ref="C60:E60"/>
    <mergeCell ref="C71:E71"/>
    <mergeCell ref="C52:E52"/>
    <mergeCell ref="A25:E25"/>
    <mergeCell ref="C61:E61"/>
    <mergeCell ref="A108:E108"/>
    <mergeCell ref="C70:E70"/>
    <mergeCell ref="A164:E164"/>
    <mergeCell ref="A75:E75"/>
    <mergeCell ref="A133:E133"/>
    <mergeCell ref="C67:E67"/>
    <mergeCell ref="A27:E27"/>
    <mergeCell ref="A158:E158"/>
    <mergeCell ref="A3:E3"/>
    <mergeCell ref="A136:E136"/>
    <mergeCell ref="C72:E72"/>
    <mergeCell ref="A154:E154"/>
    <mergeCell ref="C28:E28"/>
    <mergeCell ref="C66:E66"/>
    <mergeCell ref="A163:E163"/>
    <mergeCell ref="C57:E57"/>
    <mergeCell ref="A2:E2"/>
    <mergeCell ref="A31:E31"/>
    <mergeCell ref="C53:E53"/>
    <mergeCell ref="C69:E69"/>
    <mergeCell ref="A160:E160"/>
    <mergeCell ref="A159:E159"/>
    <mergeCell ref="C68:E68"/>
    <mergeCell ref="A17:E17"/>
    <mergeCell ref="C62:E62"/>
    <mergeCell ref="C58:E58"/>
    <mergeCell ref="A109:E109"/>
    <mergeCell ref="A156:E156"/>
    <mergeCell ref="C63:E63"/>
    <mergeCell ref="A165:E165"/>
    <mergeCell ref="A134:E134"/>
    <mergeCell ref="A161:E161"/>
    <mergeCell ref="A19:E19"/>
    <mergeCell ref="C73:E73"/>
    <mergeCell ref="A152:E152"/>
    <mergeCell ref="C64:E64"/>
    <mergeCell ref="A155:E155"/>
    <mergeCell ref="A111:E111"/>
    <mergeCell ref="C29:E29"/>
    <mergeCell ref="A167:E167"/>
    <mergeCell ref="C65:E65"/>
    <mergeCell ref="A92:E92"/>
  </mergeCells>
  <dataValidations count="2">
    <dataValidation sqref="B36:E47 B50:B70 B72:B73 B77:D86 B175:B180" showDropDown="0" showInputMessage="0" showErrorMessage="1" allowBlank="0" type="decimal" operator="greaterThanOrEqual">
      <formula1>0</formula1>
    </dataValidation>
    <dataValidation sqref="B71" showDropDown="0" showInputMessage="0" showErrorMessage="1" allowBlank="0" error="Use un margen entre 0% y 95%." type="decimal">
      <formula1>0</formula1>
      <formula2>0.95</formula2>
    </dataValidation>
  </dataValidations>
  <hyperlinks>
    <hyperlink ref="A5" location="'Costeo'!A136" tooltip="Ver detalle y fundamento" display="Excedentes de nube asignados"/>
    <hyperlink ref="A6" location="'Costeo'!A159" tooltip="Ver detalle y fundamento" display="Correos transaccionales"/>
    <hyperlink ref="A7" location="'Costeo'!A161" tooltip="Ver detalle y fundamento" display="Chat IA y comisión de cobro"/>
    <hyperlink ref="A8" location="'Costeo'!A153" tooltip="Ver detalle y fundamento" display="Proyecto dedicado Supabase"/>
    <hyperlink ref="A9" location="'Costeo'!A153" tooltip="Ver detalle y fundamento" display="Dominio API dedicado"/>
    <hyperlink ref="A11" location="'Costeo'!A34" tooltip="Ver detalle y fundamento" display="Soporte técnico mensual"/>
    <hyperlink ref="A21" location="'Costeo'!A75" tooltip="Ver detalle y fundamento" display="Horas de instalación"/>
    <hyperlink ref="A22" location="'Costeo'!A75" tooltip="Ver detalle y fundamento" display="Costo interno de instalación"/>
    <hyperlink ref="A23" location="'Costeo'!A162" tooltip="Ver detalle y fundamento" display="Cobro único proyectado"/>
    <hyperlink ref="A28" location="'Costeo'!A92" tooltip="Ver detalle y fundamento" display="Fijo operativo mensual"/>
    <hyperlink ref="A30" location="'Costeo'!A173" tooltip="Ver detalle y fundamento" display="'Costeo'!A173"/>
    <hyperlink ref="C50" r:id="rId1"/>
    <hyperlink ref="A153" r:id="rId2"/>
    <hyperlink ref="A154" r:id="rId3"/>
    <hyperlink ref="A155" r:id="rId4"/>
    <hyperlink ref="A156" r:id="rId5"/>
    <hyperlink ref="A157" r:id="rId6"/>
    <hyperlink ref="A158" r:id="rId7"/>
    <hyperlink ref="A159" r:id="rId8"/>
    <hyperlink ref="A161" r:id="rId9"/>
    <hyperlink ref="A162" r:id="rId10"/>
    <hyperlink ref="A163" r:id="rId11"/>
  </hyperlinks>
  <pageMargins left="0.75" right="0.75" top="1" bottom="1" header="0.5" footer="0.5"/>
  <pageSetup orientation="portrait" paperSize="9"/>
  <headerFooter>
    <oddHeader/>
    <oddFooter>&amp;CPulso · Proyección presupuestaria · CRC antes de impuestos</oddFooter>
    <evenHeader/>
    <evenFooter/>
    <firstHeader/>
    <firstFooter/>
  </headerFooter>
  <legacyDrawing r:id="anysvml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O37"/>
  <sheetViews>
    <sheetView showGridLines="0" topLeftCell="A21" workbookViewId="0">
      <selection activeCell="A1" sqref="A1:O1"/>
    </sheetView>
  </sheetViews>
  <sheetFormatPr baseColWidth="10" defaultColWidth="8.88671875" defaultRowHeight="14.4"/>
  <cols>
    <col width="36.109375" customWidth="1" style="61" min="1" max="1"/>
    <col width="14.109375" customWidth="1" style="61" min="2" max="2"/>
    <col width="13" customWidth="1" style="61" min="3" max="15"/>
  </cols>
  <sheetData>
    <row r="1" ht="55.95" customHeight="1" s="61">
      <c r="A1" s="79" t="inlineStr">
        <is>
          <t>VENTAS · Cartera mensual, altas, ingresos y costos. Incluye nube por consumo y desarrollo común en mes 1; modificar cantidades cambia el escenario.</t>
        </is>
      </c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</row>
    <row r="2" ht="19.95" customHeight="1" s="61">
      <c r="A2" s="98" t="str">
        <f>'PPTO Vtas Productos'!A2</f>
        <v>PULSO</v>
      </c>
      <c r="B2" s="81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</row>
    <row r="3" ht="42" customHeight="1" s="61">
      <c r="A3" s="81" t="inlineStr">
        <is>
          <t>Meta: 1 Starter +4 Pro al inicio; 1 alta Pro/mes; 1 baja en meses 6 y 10. Instalaciones y desarrollo se reconocen al incurrir.</t>
        </is>
      </c>
      <c r="B3" s="81" t="n"/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</row>
    <row r="4" ht="19.95" customHeight="1" s="61">
      <c r="A4" s="64" t="n"/>
      <c r="B4" s="64" t="n"/>
      <c r="C4" s="9" t="inlineStr">
        <is>
          <t>Mes 1</t>
        </is>
      </c>
      <c r="D4" s="9" t="inlineStr">
        <is>
          <t>Mes 2</t>
        </is>
      </c>
      <c r="E4" s="9" t="inlineStr">
        <is>
          <t>Mes 3</t>
        </is>
      </c>
      <c r="F4" s="9" t="inlineStr">
        <is>
          <t>Mes 4</t>
        </is>
      </c>
      <c r="G4" s="9" t="inlineStr">
        <is>
          <t>Mes 5</t>
        </is>
      </c>
      <c r="H4" s="9" t="inlineStr">
        <is>
          <t>Mes 6</t>
        </is>
      </c>
      <c r="I4" s="9" t="inlineStr">
        <is>
          <t>Mes 7</t>
        </is>
      </c>
      <c r="J4" s="9" t="inlineStr">
        <is>
          <t>Mes 8</t>
        </is>
      </c>
      <c r="K4" s="9" t="inlineStr">
        <is>
          <t>Mes 9</t>
        </is>
      </c>
      <c r="L4" s="9" t="inlineStr">
        <is>
          <t>Mes 10</t>
        </is>
      </c>
      <c r="M4" s="9" t="inlineStr">
        <is>
          <t>Mes 11</t>
        </is>
      </c>
      <c r="N4" s="9" t="inlineStr">
        <is>
          <t>Mes 12</t>
        </is>
      </c>
      <c r="O4" s="99" t="inlineStr">
        <is>
          <t>TOTAL</t>
        </is>
      </c>
    </row>
    <row r="5" ht="34.05" customHeight="1" s="61">
      <c r="A5" s="100" t="n"/>
      <c r="B5" s="12" t="inlineStr">
        <is>
          <t>Precio mensual o único</t>
        </is>
      </c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</row>
    <row r="6" ht="34.05" customHeight="1" s="61">
      <c r="A6" s="82" t="inlineStr">
        <is>
          <t>CANTIDADES MENSUALES POR CONCEPTO</t>
        </is>
      </c>
      <c r="B6" s="101" t="n"/>
      <c r="C6" s="102" t="n"/>
      <c r="D6" s="102" t="n"/>
      <c r="E6" s="102" t="n"/>
      <c r="F6" s="102" t="n"/>
      <c r="G6" s="102" t="n"/>
      <c r="H6" s="102" t="n"/>
      <c r="I6" s="102" t="n"/>
      <c r="J6" s="102" t="n"/>
      <c r="K6" s="102" t="n"/>
      <c r="L6" s="102" t="n"/>
      <c r="M6" s="102" t="n"/>
      <c r="N6" s="102" t="n"/>
      <c r="O6" s="102" t="n"/>
    </row>
    <row r="7" ht="19.95" customHeight="1" s="61">
      <c r="A7" s="83" t="str">
        <f>'PPTO Vtas Productos'!A5</f>
        <v>Starter mensual</v>
      </c>
      <c r="B7" s="103">
        <f>'PPTO Vtas Productos'!C5</f>
        <v>15000</v>
      </c>
      <c r="C7" s="83" t="n">
        <v>1</v>
      </c>
      <c r="D7" s="83" t="n">
        <v>1</v>
      </c>
      <c r="E7" s="83" t="n">
        <v>1</v>
      </c>
      <c r="F7" s="83" t="n">
        <v>1</v>
      </c>
      <c r="G7" s="83" t="n">
        <v>1</v>
      </c>
      <c r="H7" s="83" t="n">
        <v>1</v>
      </c>
      <c r="I7" s="83" t="n">
        <v>1</v>
      </c>
      <c r="J7" s="83" t="n">
        <v>1</v>
      </c>
      <c r="K7" s="83" t="n">
        <v>1</v>
      </c>
      <c r="L7" s="83" t="n">
        <v>1</v>
      </c>
      <c r="M7" s="83" t="n">
        <v>1</v>
      </c>
      <c r="N7" s="83" t="n">
        <v>1</v>
      </c>
      <c r="O7" s="104">
        <f>SUM(C7:N7)</f>
        <v>12.0</v>
      </c>
    </row>
    <row r="8" ht="19.95" customHeight="1" s="61">
      <c r="A8" s="83" t="str">
        <f>'PPTO Vtas Productos'!A6</f>
        <v>Pro Gym mensual</v>
      </c>
      <c r="B8" s="103">
        <f>'PPTO Vtas Productos'!C6</f>
        <v>25000</v>
      </c>
      <c r="C8" s="83" t="n">
        <v>4</v>
      </c>
      <c r="D8" s="83" t="n">
        <v>5</v>
      </c>
      <c r="E8" s="83" t="n">
        <v>6</v>
      </c>
      <c r="F8" s="83" t="n">
        <v>7</v>
      </c>
      <c r="G8" s="83" t="n">
        <v>8</v>
      </c>
      <c r="H8" s="83" t="n">
        <v>8</v>
      </c>
      <c r="I8" s="83" t="n">
        <v>9</v>
      </c>
      <c r="J8" s="83" t="n">
        <v>10</v>
      </c>
      <c r="K8" s="83" t="n">
        <v>11</v>
      </c>
      <c r="L8" s="83" t="n">
        <v>11</v>
      </c>
      <c r="M8" s="83" t="n">
        <v>12</v>
      </c>
      <c r="N8" s="83" t="n">
        <v>13</v>
      </c>
      <c r="O8" s="104">
        <f>SUM(C8:N8)</f>
        <v>104.0</v>
      </c>
    </row>
    <row r="9" ht="19.95" customHeight="1" s="61">
      <c r="A9" s="83" t="str">
        <f>'PPTO Vtas Productos'!A7</f>
        <v>Premium mensual dedicado</v>
      </c>
      <c r="B9" s="103">
        <f>'PPTO Vtas Productos'!C7</f>
        <v>45000</v>
      </c>
      <c r="C9" s="83" t="n">
        <v>0</v>
      </c>
      <c r="D9" s="83" t="n">
        <v>0</v>
      </c>
      <c r="E9" s="83" t="n">
        <v>0</v>
      </c>
      <c r="F9" s="83" t="n">
        <v>0</v>
      </c>
      <c r="G9" s="83" t="n">
        <v>0</v>
      </c>
      <c r="H9" s="83" t="n">
        <v>0</v>
      </c>
      <c r="I9" s="83" t="n">
        <v>0</v>
      </c>
      <c r="J9" s="83" t="n">
        <v>0</v>
      </c>
      <c r="K9" s="83" t="n">
        <v>0</v>
      </c>
      <c r="L9" s="83" t="n">
        <v>0</v>
      </c>
      <c r="M9" s="83" t="n">
        <v>0</v>
      </c>
      <c r="N9" s="83" t="n">
        <v>0</v>
      </c>
      <c r="O9" s="104">
        <f>SUM(C9:N9)</f>
        <v>0</v>
      </c>
    </row>
    <row r="10" ht="19.95" customHeight="1" s="61">
      <c r="A10" s="83" t="str">
        <f>'PPTO Vtas Productos'!A8</f>
        <v>Enterprise mensual · 2 sedes</v>
      </c>
      <c r="B10" s="103">
        <f>'PPTO Vtas Productos'!C8</f>
        <v>70000</v>
      </c>
      <c r="C10" s="83" t="n">
        <v>0</v>
      </c>
      <c r="D10" s="83" t="n">
        <v>0</v>
      </c>
      <c r="E10" s="83" t="n">
        <v>0</v>
      </c>
      <c r="F10" s="83" t="n">
        <v>0</v>
      </c>
      <c r="G10" s="83" t="n">
        <v>0</v>
      </c>
      <c r="H10" s="83" t="n">
        <v>0</v>
      </c>
      <c r="I10" s="83" t="n">
        <v>0</v>
      </c>
      <c r="J10" s="83" t="n">
        <v>0</v>
      </c>
      <c r="K10" s="83" t="n">
        <v>0</v>
      </c>
      <c r="L10" s="83" t="n">
        <v>0</v>
      </c>
      <c r="M10" s="83" t="n">
        <v>0</v>
      </c>
      <c r="N10" s="83" t="n">
        <v>0</v>
      </c>
      <c r="O10" s="104">
        <f>SUM(C10:N10)</f>
        <v>0</v>
      </c>
    </row>
    <row r="11" ht="19.95" customHeight="1" s="61">
      <c r="A11" s="83" t="str">
        <f>'PPTO Vtas Productos'!A9</f>
        <v>Instalación básica</v>
      </c>
      <c r="B11" s="103">
        <f>'PPTO Vtas Productos'!C9</f>
        <v>0</v>
      </c>
      <c r="C11" s="83" t="n">
        <v>5</v>
      </c>
      <c r="D11" s="83" t="n">
        <v>1</v>
      </c>
      <c r="E11" s="83" t="n">
        <v>1</v>
      </c>
      <c r="F11" s="83" t="n">
        <v>1</v>
      </c>
      <c r="G11" s="83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1</v>
      </c>
      <c r="M11" s="83" t="n">
        <v>1</v>
      </c>
      <c r="N11" s="83" t="n">
        <v>1</v>
      </c>
      <c r="O11" s="104">
        <f>SUM(C11:N11)</f>
        <v>16.0</v>
      </c>
    </row>
    <row r="12" ht="19.95" customHeight="1" s="61">
      <c r="A12" s="83" t="str">
        <f>'PPTO Vtas Productos'!A10</f>
        <v>Instalación premium</v>
      </c>
      <c r="B12" s="105">
        <f>'PPTO Vtas Productos'!C10</f>
        <v>129000</v>
      </c>
      <c r="C12" s="83" t="n">
        <v>0</v>
      </c>
      <c r="D12" s="83" t="n">
        <v>0</v>
      </c>
      <c r="E12" s="83" t="n">
        <v>0</v>
      </c>
      <c r="F12" s="83" t="n">
        <v>0</v>
      </c>
      <c r="G12" s="83" t="n">
        <v>0</v>
      </c>
      <c r="H12" s="83" t="n">
        <v>0</v>
      </c>
      <c r="I12" s="83" t="n">
        <v>0</v>
      </c>
      <c r="J12" s="83" t="n">
        <v>0</v>
      </c>
      <c r="K12" s="83" t="n">
        <v>0</v>
      </c>
      <c r="L12" s="83" t="n">
        <v>0</v>
      </c>
      <c r="M12" s="83" t="n">
        <v>0</v>
      </c>
      <c r="N12" s="83" t="n">
        <v>0</v>
      </c>
      <c r="O12" s="104">
        <f>SUM(C12:N12)</f>
        <v>0</v>
      </c>
    </row>
    <row r="13" ht="19.95" customHeight="1" s="61">
      <c r="A13" s="83" t="str">
        <f>'PPTO Vtas Productos'!A11</f>
        <v>Operación fija plataforma</v>
      </c>
      <c r="B13" s="103" t="n">
        <v>0</v>
      </c>
      <c r="C13" s="83" t="n">
        <v>1</v>
      </c>
      <c r="D13" s="83" t="n">
        <v>1</v>
      </c>
      <c r="E13" s="83" t="n">
        <v>1</v>
      </c>
      <c r="F13" s="83" t="n">
        <v>1</v>
      </c>
      <c r="G13" s="83" t="n">
        <v>1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1</v>
      </c>
      <c r="M13" s="83" t="n">
        <v>1</v>
      </c>
      <c r="N13" s="83" t="n">
        <v>1</v>
      </c>
      <c r="O13" s="104">
        <f>SUM(C13:N13)</f>
        <v>12.0</v>
      </c>
    </row>
    <row r="14" ht="19.95" customHeight="1" s="61">
      <c r="A14" s="83" t="str">
        <f>'PPTO Vtas Productos'!A12</f>
        <v>Instalación Enterprise · 2 sedes</v>
      </c>
      <c r="B14" s="105">
        <f>'PPTO Vtas Productos'!C12</f>
        <v>258000</v>
      </c>
      <c r="C14" s="83" t="n">
        <v>0</v>
      </c>
      <c r="D14" s="83" t="n">
        <v>0</v>
      </c>
      <c r="E14" s="83" t="n">
        <v>0</v>
      </c>
      <c r="F14" s="83" t="n">
        <v>0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0</v>
      </c>
      <c r="L14" s="83" t="n">
        <v>0</v>
      </c>
      <c r="M14" s="83" t="n">
        <v>0</v>
      </c>
      <c r="N14" s="83" t="n">
        <v>0</v>
      </c>
      <c r="O14" s="104">
        <f>SUM(C14:N14)</f>
        <v>0</v>
      </c>
    </row>
    <row r="15" ht="19.95" customHeight="1" s="61">
      <c r="A15" s="82" t="inlineStr">
        <is>
          <t>INGRESOS POR CONCEPTO</t>
        </is>
      </c>
      <c r="B15" s="82" t="inlineStr">
        <is>
          <t>Precio Und</t>
        </is>
      </c>
      <c r="C15" s="18" t="str">
        <f>C4</f>
        <v>Mes 1</v>
      </c>
      <c r="D15" s="18" t="str">
        <f>D4</f>
        <v>Mes 2</v>
      </c>
      <c r="E15" s="18" t="str">
        <f>E4</f>
        <v>Mes 3</v>
      </c>
      <c r="F15" s="18" t="str">
        <f>F4</f>
        <v>Mes 4</v>
      </c>
      <c r="G15" s="18" t="str">
        <f>G4</f>
        <v>Mes 5</v>
      </c>
      <c r="H15" s="18" t="str">
        <f>H4</f>
        <v>Mes 6</v>
      </c>
      <c r="I15" s="18" t="str">
        <f>I4</f>
        <v>Mes 7</v>
      </c>
      <c r="J15" s="18" t="str">
        <f>J4</f>
        <v>Mes 8</v>
      </c>
      <c r="K15" s="18" t="str">
        <f>K4</f>
        <v>Mes 9</v>
      </c>
      <c r="L15" s="18" t="str">
        <f>L4</f>
        <v>Mes 10</v>
      </c>
      <c r="M15" s="18" t="str">
        <f>M4</f>
        <v>Mes 11</v>
      </c>
      <c r="N15" s="18" t="str">
        <f>N4</f>
        <v>Mes 12</v>
      </c>
      <c r="O15" s="82" t="inlineStr">
        <is>
          <t>TOTAL</t>
        </is>
      </c>
    </row>
    <row r="16" ht="19.95" customHeight="1" s="61">
      <c r="A16" s="104" t="str">
        <f>A7</f>
        <v>Starter mensual</v>
      </c>
      <c r="B16" s="106">
        <f>B7</f>
        <v>15000</v>
      </c>
      <c r="C16" s="104">
        <f>C7*$B16</f>
        <v>15000.0</v>
      </c>
      <c r="D16" s="104">
        <f>D7*$B16</f>
        <v>15000.0</v>
      </c>
      <c r="E16" s="104">
        <f>E7*$B16</f>
        <v>15000.0</v>
      </c>
      <c r="F16" s="104">
        <f>F7*$B16</f>
        <v>15000.0</v>
      </c>
      <c r="G16" s="104">
        <f>G7*$B16</f>
        <v>15000.0</v>
      </c>
      <c r="H16" s="104">
        <f>H7*$B16</f>
        <v>15000.0</v>
      </c>
      <c r="I16" s="104">
        <f>I7*$B16</f>
        <v>15000.0</v>
      </c>
      <c r="J16" s="104">
        <f>J7*$B16</f>
        <v>15000.0</v>
      </c>
      <c r="K16" s="104">
        <f>K7*$B16</f>
        <v>15000.0</v>
      </c>
      <c r="L16" s="104">
        <f>L7*$B16</f>
        <v>15000.0</v>
      </c>
      <c r="M16" s="104">
        <f>M7*$B16</f>
        <v>15000.0</v>
      </c>
      <c r="N16" s="104">
        <f>N7*$B16</f>
        <v>15000.0</v>
      </c>
      <c r="O16" s="107">
        <f>SUM(C16:N16)</f>
        <v>180000.0</v>
      </c>
    </row>
    <row r="17" ht="19.95" customHeight="1" s="61">
      <c r="A17" s="104" t="str">
        <f>A8</f>
        <v>Pro Gym mensual</v>
      </c>
      <c r="B17" s="106">
        <f>B8</f>
        <v>25000</v>
      </c>
      <c r="C17" s="104">
        <f>C8*$B17</f>
        <v>100000.0</v>
      </c>
      <c r="D17" s="104">
        <f>D8*$B17</f>
        <v>125000.0</v>
      </c>
      <c r="E17" s="104">
        <f>E8*$B17</f>
        <v>150000.0</v>
      </c>
      <c r="F17" s="104">
        <f>F8*$B17</f>
        <v>175000.0</v>
      </c>
      <c r="G17" s="104">
        <f>G8*$B17</f>
        <v>200000.0</v>
      </c>
      <c r="H17" s="104">
        <f>H8*$B17</f>
        <v>200000.0</v>
      </c>
      <c r="I17" s="104">
        <f>I8*$B17</f>
        <v>225000.0</v>
      </c>
      <c r="J17" s="104">
        <f>J8*$B17</f>
        <v>250000.0</v>
      </c>
      <c r="K17" s="104">
        <f>K8*$B17</f>
        <v>275000.0</v>
      </c>
      <c r="L17" s="104">
        <f>L8*$B17</f>
        <v>275000.0</v>
      </c>
      <c r="M17" s="104">
        <f>M8*$B17</f>
        <v>300000.0</v>
      </c>
      <c r="N17" s="104">
        <f>N8*$B17</f>
        <v>325000.0</v>
      </c>
      <c r="O17" s="106">
        <f>SUM(C17:N17)</f>
        <v>2600000.0</v>
      </c>
    </row>
    <row r="18" ht="19.95" customHeight="1" s="61">
      <c r="A18" s="104" t="str">
        <f>A9</f>
        <v>Premium mensual dedicado</v>
      </c>
      <c r="B18" s="106">
        <f>B9</f>
        <v>45000</v>
      </c>
      <c r="C18" s="104">
        <f>C9*$B18</f>
        <v>0</v>
      </c>
      <c r="D18" s="104">
        <f>D9*$B18</f>
        <v>0</v>
      </c>
      <c r="E18" s="104">
        <f>E9*$B18</f>
        <v>0</v>
      </c>
      <c r="F18" s="104">
        <f>F9*$B18</f>
        <v>0</v>
      </c>
      <c r="G18" s="104">
        <f>G9*$B18</f>
        <v>0</v>
      </c>
      <c r="H18" s="104">
        <f>H9*$B18</f>
        <v>0</v>
      </c>
      <c r="I18" s="104">
        <f>I9*$B18</f>
        <v>0</v>
      </c>
      <c r="J18" s="104">
        <f>J9*$B18</f>
        <v>0</v>
      </c>
      <c r="K18" s="104">
        <f>K9*$B18</f>
        <v>0</v>
      </c>
      <c r="L18" s="104">
        <f>L9*$B18</f>
        <v>0</v>
      </c>
      <c r="M18" s="104">
        <f>M9*$B18</f>
        <v>0</v>
      </c>
      <c r="N18" s="104">
        <f>N9*$B18</f>
        <v>0</v>
      </c>
      <c r="O18" s="106">
        <f>SUM(C18:N18)</f>
        <v>0</v>
      </c>
    </row>
    <row r="19" ht="19.95" customHeight="1" s="61">
      <c r="A19" s="104" t="str">
        <f>A10</f>
        <v>Enterprise mensual · 2 sedes</v>
      </c>
      <c r="B19" s="106">
        <f>B10</f>
        <v>70000</v>
      </c>
      <c r="C19" s="104">
        <f>C10*$B19</f>
        <v>0</v>
      </c>
      <c r="D19" s="104">
        <f>D10*$B19</f>
        <v>0</v>
      </c>
      <c r="E19" s="104">
        <f>E10*$B19</f>
        <v>0</v>
      </c>
      <c r="F19" s="104">
        <f>F10*$B19</f>
        <v>0</v>
      </c>
      <c r="G19" s="104">
        <f>G10*$B19</f>
        <v>0</v>
      </c>
      <c r="H19" s="104">
        <f>H10*$B19</f>
        <v>0</v>
      </c>
      <c r="I19" s="104">
        <f>I10*$B19</f>
        <v>0</v>
      </c>
      <c r="J19" s="104">
        <f>J10*$B19</f>
        <v>0</v>
      </c>
      <c r="K19" s="104">
        <f>K10*$B19</f>
        <v>0</v>
      </c>
      <c r="L19" s="104">
        <f>L10*$B19</f>
        <v>0</v>
      </c>
      <c r="M19" s="104">
        <f>M10*$B19</f>
        <v>0</v>
      </c>
      <c r="N19" s="104">
        <f>N10*$B19</f>
        <v>0</v>
      </c>
      <c r="O19" s="106">
        <f>SUM(C19:N19)</f>
        <v>0</v>
      </c>
    </row>
    <row r="20" ht="19.95" customHeight="1" s="61">
      <c r="A20" s="104" t="str">
        <f>A11</f>
        <v>Instalación básica</v>
      </c>
      <c r="B20" s="106">
        <f>B11</f>
        <v>0</v>
      </c>
      <c r="C20" s="104">
        <f>C11*$B20</f>
        <v>0</v>
      </c>
      <c r="D20" s="104">
        <f>D11*$B20</f>
        <v>0</v>
      </c>
      <c r="E20" s="104">
        <f>E11*$B20</f>
        <v>0</v>
      </c>
      <c r="F20" s="104">
        <f>F11*$B20</f>
        <v>0</v>
      </c>
      <c r="G20" s="104">
        <f>G11*$B20</f>
        <v>0</v>
      </c>
      <c r="H20" s="104">
        <f>H11*$B20</f>
        <v>0</v>
      </c>
      <c r="I20" s="104">
        <f>I11*$B20</f>
        <v>0</v>
      </c>
      <c r="J20" s="104">
        <f>J11*$B20</f>
        <v>0</v>
      </c>
      <c r="K20" s="104">
        <f>K11*$B20</f>
        <v>0</v>
      </c>
      <c r="L20" s="104">
        <f>L11*$B20</f>
        <v>0</v>
      </c>
      <c r="M20" s="104">
        <f>M11*$B20</f>
        <v>0</v>
      </c>
      <c r="N20" s="104">
        <f>N11*$B20</f>
        <v>0</v>
      </c>
      <c r="O20" s="106">
        <f>SUM(C20:N20)</f>
        <v>0</v>
      </c>
    </row>
    <row r="21" ht="19.95" customHeight="1" s="61">
      <c r="A21" s="104" t="str">
        <f>A12</f>
        <v>Instalación premium</v>
      </c>
      <c r="B21" s="106">
        <f>B12</f>
        <v>129000</v>
      </c>
      <c r="C21" s="104">
        <f>C12*$B21</f>
        <v>0</v>
      </c>
      <c r="D21" s="104">
        <f>D12*$B21</f>
        <v>0</v>
      </c>
      <c r="E21" s="104">
        <f>E12*$B21</f>
        <v>0</v>
      </c>
      <c r="F21" s="104">
        <f>F12*$B21</f>
        <v>0</v>
      </c>
      <c r="G21" s="104">
        <f>G12*$B21</f>
        <v>0</v>
      </c>
      <c r="H21" s="104">
        <f>H12*$B21</f>
        <v>0</v>
      </c>
      <c r="I21" s="104">
        <f>I12*$B21</f>
        <v>0</v>
      </c>
      <c r="J21" s="104">
        <f>J12*$B21</f>
        <v>0</v>
      </c>
      <c r="K21" s="104">
        <f>K12*$B21</f>
        <v>0</v>
      </c>
      <c r="L21" s="104">
        <f>L12*$B21</f>
        <v>0</v>
      </c>
      <c r="M21" s="104">
        <f>M12*$B21</f>
        <v>0</v>
      </c>
      <c r="N21" s="104">
        <f>N12*$B21</f>
        <v>0</v>
      </c>
      <c r="O21" s="106">
        <f>SUM(C21:N21)</f>
        <v>0</v>
      </c>
    </row>
    <row r="22" ht="19.95" customHeight="1" s="61">
      <c r="A22" s="104" t="str">
        <f>A13</f>
        <v>Operación fija plataforma</v>
      </c>
      <c r="B22" s="106">
        <f>B13</f>
        <v>0</v>
      </c>
      <c r="C22" s="104">
        <f>C13*$B22</f>
        <v>0</v>
      </c>
      <c r="D22" s="104">
        <f>D13*$B22</f>
        <v>0</v>
      </c>
      <c r="E22" s="104">
        <f>E13*$B22</f>
        <v>0</v>
      </c>
      <c r="F22" s="104">
        <f>F13*$B22</f>
        <v>0</v>
      </c>
      <c r="G22" s="104">
        <f>G13*$B22</f>
        <v>0</v>
      </c>
      <c r="H22" s="104">
        <f>H13*$B22</f>
        <v>0</v>
      </c>
      <c r="I22" s="104">
        <f>I13*$B22</f>
        <v>0</v>
      </c>
      <c r="J22" s="104">
        <f>J13*$B22</f>
        <v>0</v>
      </c>
      <c r="K22" s="104">
        <f>K13*$B22</f>
        <v>0</v>
      </c>
      <c r="L22" s="104">
        <f>L13*$B22</f>
        <v>0</v>
      </c>
      <c r="M22" s="104">
        <f>M13*$B22</f>
        <v>0</v>
      </c>
      <c r="N22" s="104">
        <f>N13*$B22</f>
        <v>0</v>
      </c>
      <c r="O22" s="106">
        <f>SUM(C22:N22)</f>
        <v>0</v>
      </c>
    </row>
    <row r="23" ht="19.95" customHeight="1" s="61">
      <c r="A23" s="104" t="str">
        <f>A14</f>
        <v>Instalación Enterprise · 2 sedes</v>
      </c>
      <c r="B23" s="106">
        <f>B14</f>
        <v>258000</v>
      </c>
      <c r="C23" s="104">
        <f>C14*$B23</f>
        <v>0</v>
      </c>
      <c r="D23" s="104">
        <f>D14*$B23</f>
        <v>0</v>
      </c>
      <c r="E23" s="104">
        <f>E14*$B23</f>
        <v>0</v>
      </c>
      <c r="F23" s="104">
        <f>F14*$B23</f>
        <v>0</v>
      </c>
      <c r="G23" s="104">
        <f>G14*$B23</f>
        <v>0</v>
      </c>
      <c r="H23" s="104">
        <f>H14*$B23</f>
        <v>0</v>
      </c>
      <c r="I23" s="104">
        <f>I14*$B23</f>
        <v>0</v>
      </c>
      <c r="J23" s="104">
        <f>J14*$B23</f>
        <v>0</v>
      </c>
      <c r="K23" s="104">
        <f>K14*$B23</f>
        <v>0</v>
      </c>
      <c r="L23" s="104">
        <f>L14*$B23</f>
        <v>0</v>
      </c>
      <c r="M23" s="104">
        <f>M14*$B23</f>
        <v>0</v>
      </c>
      <c r="N23" s="104">
        <f>N14*$B23</f>
        <v>0</v>
      </c>
      <c r="O23" s="106">
        <f>SUM(C23:N23)</f>
        <v>0</v>
      </c>
    </row>
    <row r="24" ht="19.95" customHeight="1" s="61">
      <c r="A24" s="108" t="inlineStr">
        <is>
          <t>TOTAL INGRESOS VENTAS</t>
        </is>
      </c>
      <c r="B24" s="109" t="n"/>
      <c r="C24" s="108">
        <f>SUM(C16:C23)</f>
        <v>115000.0</v>
      </c>
      <c r="D24" s="108">
        <f>SUM(D16:D23)</f>
        <v>140000.0</v>
      </c>
      <c r="E24" s="108">
        <f>SUM(E16:E23)</f>
        <v>165000.0</v>
      </c>
      <c r="F24" s="108">
        <f>SUM(F16:F23)</f>
        <v>190000.0</v>
      </c>
      <c r="G24" s="108">
        <f>SUM(G16:G23)</f>
        <v>215000.0</v>
      </c>
      <c r="H24" s="108">
        <f>SUM(H16:H23)</f>
        <v>215000.0</v>
      </c>
      <c r="I24" s="108">
        <f>SUM(I16:I23)</f>
        <v>240000.0</v>
      </c>
      <c r="J24" s="108">
        <f>SUM(J16:J23)</f>
        <v>265000.0</v>
      </c>
      <c r="K24" s="108">
        <f>SUM(K16:K23)</f>
        <v>290000.0</v>
      </c>
      <c r="L24" s="108">
        <f>SUM(L16:L23)</f>
        <v>290000.0</v>
      </c>
      <c r="M24" s="108">
        <f>SUM(M16:M23)</f>
        <v>315000.0</v>
      </c>
      <c r="N24" s="108">
        <f>SUM(N16:N23)</f>
        <v>340000.0</v>
      </c>
      <c r="O24" s="108">
        <f>SUM(C24:N24)</f>
        <v>2780000.0</v>
      </c>
    </row>
    <row r="25" ht="34.05" customHeight="1" s="61">
      <c r="A25" s="108" t="inlineStr">
        <is>
          <t>COSTOS VARIABLES, INSTALACIÓN Y FIJOS</t>
        </is>
      </c>
      <c r="B25" s="110" t="n"/>
      <c r="C25" s="111">
        <f>C37</f>
        <v>480631.1789375</v>
      </c>
      <c r="D25" s="111">
        <f>D37</f>
        <v>139452.494125</v>
      </c>
      <c r="E25" s="111">
        <f>E37</f>
        <v>140937.98364583333</v>
      </c>
      <c r="F25" s="111">
        <f>F37</f>
        <v>152423.4731666667</v>
      </c>
      <c r="G25" s="111">
        <f>G37</f>
        <v>153908.9626875</v>
      </c>
      <c r="H25" s="111">
        <f>H37</f>
        <v>153908.9626875</v>
      </c>
      <c r="I25" s="111">
        <f>I37</f>
        <v>155394.45220833336</v>
      </c>
      <c r="J25" s="111">
        <f>J37</f>
        <v>159379.94172916666</v>
      </c>
      <c r="K25" s="111">
        <f>K37</f>
        <v>160865.43125000002</v>
      </c>
      <c r="L25" s="111">
        <f>L37</f>
        <v>160865.43125000002</v>
      </c>
      <c r="M25" s="111">
        <f>M37</f>
        <v>162350.92077083336</v>
      </c>
      <c r="N25" s="111">
        <f>N37</f>
        <v>163836.4102916667</v>
      </c>
      <c r="O25" s="111">
        <f>O37</f>
        <v>2183955.6427499996</v>
      </c>
    </row>
    <row r="26" ht="19.95" customHeight="1" s="61">
      <c r="A26" s="82" t="inlineStr">
        <is>
          <t>RESULTADO ANTES DE IMPUESTOS</t>
        </is>
      </c>
      <c r="B26" s="101" t="n"/>
      <c r="C26" s="82">
        <f>IF(OR(AND(C12&gt;0,$B$12&lt;=0),AND(C14&gt;0,$B$14&lt;=0)),"Cotizar instalaciones",C24-C37)</f>
        <v>-365631.1789375</v>
      </c>
      <c r="D26" s="82">
        <f>IF(OR(AND(D12&gt;0,$B$12&lt;=0),AND(D14&gt;0,$B$14&lt;=0)),"Cotizar instalaciones",D24-D37)</f>
        <v>547.5058750000026</v>
      </c>
      <c r="E26" s="82">
        <f>IF(OR(AND(E12&gt;0,$B$12&lt;=0),AND(E14&gt;0,$B$14&lt;=0)),"Cotizar instalaciones",E24-E37)</f>
        <v>24062.01635416667</v>
      </c>
      <c r="F26" s="82">
        <f>IF(OR(AND(F12&gt;0,$B$12&lt;=0),AND(F14&gt;0,$B$14&lt;=0)),"Cotizar instalaciones",F24-F37)</f>
        <v>37576.52683333331</v>
      </c>
      <c r="G26" s="82">
        <f>IF(OR(AND(G12&gt;0,$B$12&lt;=0),AND(G14&gt;0,$B$14&lt;=0)),"Cotizar instalaciones",G24-G37)</f>
        <v>61091.037312500004</v>
      </c>
      <c r="H26" s="82">
        <f>IF(OR(AND(H12&gt;0,$B$12&lt;=0),AND(H14&gt;0,$B$14&lt;=0)),"Cotizar instalaciones",H24-H37)</f>
        <v>61091.037312500004</v>
      </c>
      <c r="I26" s="82">
        <f>IF(OR(AND(I12&gt;0,$B$12&lt;=0),AND(I14&gt;0,$B$14&lt;=0)),"Cotizar instalaciones",I24-I37)</f>
        <v>84605.54779166664</v>
      </c>
      <c r="J26" s="82">
        <f>IF(OR(AND(J12&gt;0,$B$12&lt;=0),AND(J14&gt;0,$B$14&lt;=0)),"Cotizar instalaciones",J24-J37)</f>
        <v>105620.05827083334</v>
      </c>
      <c r="K26" s="82">
        <f>IF(OR(AND(K12&gt;0,$B$12&lt;=0),AND(K14&gt;0,$B$14&lt;=0)),"Cotizar instalaciones",K24-K37)</f>
        <v>129134.56874999998</v>
      </c>
      <c r="L26" s="82">
        <f>IF(OR(AND(L12&gt;0,$B$12&lt;=0),AND(L14&gt;0,$B$14&lt;=0)),"Cotizar instalaciones",L24-L37)</f>
        <v>129134.56874999998</v>
      </c>
      <c r="M26" s="82">
        <f>IF(OR(AND(M12&gt;0,$B$12&lt;=0),AND(M14&gt;0,$B$14&lt;=0)),"Cotizar instalaciones",M24-M37)</f>
        <v>152649.07922916664</v>
      </c>
      <c r="N26" s="82">
        <f>IF(OR(AND(N12&gt;0,$B$12&lt;=0),AND(N14&gt;0,$B$14&lt;=0)),"Cotizar instalaciones",N24-N37)</f>
        <v>176163.5897083333</v>
      </c>
      <c r="O26" s="82">
        <f>IF(OR(AND(O12&gt;0,$B$12&lt;=0),AND(O14&gt;0,$B$14&lt;=0)),"Cotizar instalaciones",O24-O37)</f>
        <v>596044.3572500004</v>
      </c>
    </row>
    <row r="27" ht="19.95" customHeight="1" s="61">
      <c r="A27" s="112" t="inlineStr">
        <is>
          <t>RESULTADO / INGRESOS</t>
        </is>
      </c>
      <c r="B27" s="113" t="n"/>
      <c r="C27" s="27">
        <f>IF(ISNUMBER(C26),IF(C24&gt;0,C26/C24,""),"Cotizar instalaciones")</f>
        <v>-3.1794015559782607</v>
      </c>
      <c r="D27" s="27">
        <f>IF(ISNUMBER(D26),IF(D24&gt;0,D26/D24,""),"Cotizar instalaciones")</f>
        <v>0.0039107562500000186</v>
      </c>
      <c r="E27" s="27">
        <f>IF(ISNUMBER(E26),IF(E24&gt;0,E26/E24,""),"Cotizar instalaciones")</f>
        <v>0.14583040214646467</v>
      </c>
      <c r="F27" s="27">
        <f>IF(ISNUMBER(F26),IF(F24&gt;0,F26/F24,""),"Cotizar instalaciones")</f>
        <v>0.197771193859649</v>
      </c>
      <c r="G27" s="27">
        <f>IF(ISNUMBER(G26),IF(G24&gt;0,G26/G24,""),"Cotizar instalaciones")</f>
        <v>0.28414435959302325</v>
      </c>
      <c r="H27" s="27">
        <f>IF(ISNUMBER(H26),IF(H24&gt;0,H26/H24,""),"Cotizar instalaciones")</f>
        <v>0.28414435959302325</v>
      </c>
      <c r="I27" s="27">
        <f>IF(ISNUMBER(I26),IF(I24&gt;0,I26/I24,""),"Cotizar instalaciones")</f>
        <v>0.352523115798611</v>
      </c>
      <c r="J27" s="27">
        <f>IF(ISNUMBER(J26),IF(J24&gt;0,J26/J24,""),"Cotizar instalaciones")</f>
        <v>0.3985662576257862</v>
      </c>
      <c r="K27" s="27">
        <f>IF(ISNUMBER(K26),IF(K24&gt;0,K26/K24,""),"Cotizar instalaciones")</f>
        <v>0.44529161637931025</v>
      </c>
      <c r="L27" s="27">
        <f>IF(ISNUMBER(L26),IF(L24&gt;0,L26/L24,""),"Cotizar instalaciones")</f>
        <v>0.44529161637931025</v>
      </c>
      <c r="M27" s="27">
        <f>IF(ISNUMBER(M26),IF(M24&gt;0,M26/M24,""),"Cotizar instalaciones")</f>
        <v>0.4846002515211639</v>
      </c>
      <c r="N27" s="27">
        <f>IF(ISNUMBER(N26),IF(N24&gt;0,N26/N24,""),"Cotizar instalaciones")</f>
        <v>0.5181282050245097</v>
      </c>
      <c r="O27" s="27">
        <f>IF(ISNUMBER(O26),IF(O24&gt;0,O26/O24,""),"Cotizar instalaciones")</f>
        <v>0.21440444505395695</v>
      </c>
    </row>
    <row r="28" ht="19.95" customHeight="1" s="61">
      <c r="A28" s="114" t="inlineStr">
        <is>
          <t>COSTOS POR CONCEPTO</t>
        </is>
      </c>
      <c r="B28" s="114" t="inlineStr">
        <is>
          <t>Costos / Und</t>
        </is>
      </c>
      <c r="C28" s="29" t="str">
        <f>C15</f>
        <v>Mes 1</v>
      </c>
      <c r="D28" s="29" t="str">
        <f>D15</f>
        <v>Mes 2</v>
      </c>
      <c r="E28" s="29" t="str">
        <f>E15</f>
        <v>Mes 3</v>
      </c>
      <c r="F28" s="29" t="str">
        <f>F15</f>
        <v>Mes 4</v>
      </c>
      <c r="G28" s="29" t="str">
        <f>G15</f>
        <v>Mes 5</v>
      </c>
      <c r="H28" s="29" t="str">
        <f>H15</f>
        <v>Mes 6</v>
      </c>
      <c r="I28" s="29" t="str">
        <f>I15</f>
        <v>Mes 7</v>
      </c>
      <c r="J28" s="29" t="str">
        <f>J15</f>
        <v>Mes 8</v>
      </c>
      <c r="K28" s="29" t="str">
        <f>K15</f>
        <v>Mes 9</v>
      </c>
      <c r="L28" s="29" t="str">
        <f>L15</f>
        <v>Mes 10</v>
      </c>
      <c r="M28" s="29" t="str">
        <f>M15</f>
        <v>Mes 11</v>
      </c>
      <c r="N28" s="29" t="str">
        <f>N15</f>
        <v>Mes 12</v>
      </c>
      <c r="O28" s="114" t="inlineStr">
        <is>
          <t>TOTAL</t>
        </is>
      </c>
    </row>
    <row r="29" ht="19.95" customHeight="1" s="61">
      <c r="A29" s="104" t="str">
        <f>A7</f>
        <v>Starter mensual</v>
      </c>
      <c r="B29" s="115">
        <f>Costeo!B12</f>
        <v>1216.2295208333335</v>
      </c>
      <c r="C29" s="104">
        <f>C7*Costeo!$B$129</f>
        <v>1216.2295208333335</v>
      </c>
      <c r="D29" s="104">
        <f>D7*Costeo!$B$129</f>
        <v>1216.2295208333335</v>
      </c>
      <c r="E29" s="104">
        <f>E7*Costeo!$B$129</f>
        <v>1216.2295208333335</v>
      </c>
      <c r="F29" s="104">
        <f>F7*Costeo!$B$129</f>
        <v>1216.2295208333335</v>
      </c>
      <c r="G29" s="104">
        <f>G7*Costeo!$B$129</f>
        <v>1216.2295208333335</v>
      </c>
      <c r="H29" s="104">
        <f>H7*Costeo!$B$129</f>
        <v>1216.2295208333335</v>
      </c>
      <c r="I29" s="104">
        <f>I7*Costeo!$B$129</f>
        <v>1216.2295208333335</v>
      </c>
      <c r="J29" s="104">
        <f>J7*Costeo!$B$129</f>
        <v>1216.2295208333335</v>
      </c>
      <c r="K29" s="104">
        <f>K7*Costeo!$B$129</f>
        <v>1216.2295208333335</v>
      </c>
      <c r="L29" s="104">
        <f>L7*Costeo!$B$129</f>
        <v>1216.2295208333335</v>
      </c>
      <c r="M29" s="104">
        <f>M7*Costeo!$B$129</f>
        <v>1216.2295208333335</v>
      </c>
      <c r="N29" s="104">
        <f>N7*Costeo!$B$129</f>
        <v>1216.2295208333335</v>
      </c>
      <c r="O29" s="99">
        <f>SUM(C29:N29)</f>
        <v>14594.754250000005</v>
      </c>
    </row>
    <row r="30" ht="19.95" customHeight="1" s="61">
      <c r="A30" s="104" t="str">
        <f>A8</f>
        <v>Pro Gym mensual</v>
      </c>
      <c r="B30" s="115">
        <f>Costeo!C12</f>
        <v>1485.4895208333332</v>
      </c>
      <c r="C30" s="104">
        <f>C8*Costeo!$C$129</f>
        <v>5941.958083333333</v>
      </c>
      <c r="D30" s="104">
        <f>D8*Costeo!$C$129</f>
        <v>7427.447604166666</v>
      </c>
      <c r="E30" s="104">
        <f>E8*Costeo!$C$129</f>
        <v>8912.937125</v>
      </c>
      <c r="F30" s="104">
        <f>F8*Costeo!$C$129</f>
        <v>10398.426645833333</v>
      </c>
      <c r="G30" s="104">
        <f>G8*Costeo!$C$129</f>
        <v>11883.916166666666</v>
      </c>
      <c r="H30" s="104">
        <f>H8*Costeo!$C$129</f>
        <v>11883.916166666666</v>
      </c>
      <c r="I30" s="104">
        <f>I8*Costeo!$C$129</f>
        <v>13369.405687499999</v>
      </c>
      <c r="J30" s="104">
        <f>J8*Costeo!$C$129</f>
        <v>14854.895208333332</v>
      </c>
      <c r="K30" s="104">
        <f>K8*Costeo!$C$129</f>
        <v>16340.384729166666</v>
      </c>
      <c r="L30" s="104">
        <f>L8*Costeo!$C$129</f>
        <v>16340.384729166666</v>
      </c>
      <c r="M30" s="104">
        <f>M8*Costeo!$C$129</f>
        <v>17825.87425</v>
      </c>
      <c r="N30" s="104">
        <f>N8*Costeo!$C$129</f>
        <v>19311.363770833334</v>
      </c>
      <c r="O30" s="106">
        <f>SUM(C30:N30)</f>
        <v>154490.91016666664</v>
      </c>
    </row>
    <row r="31" ht="19.95" customHeight="1" s="61">
      <c r="A31" s="104" t="str">
        <f>A9</f>
        <v>Premium mensual dedicado</v>
      </c>
      <c r="B31" s="115">
        <f>Costeo!D12</f>
        <v>13193.719041666667</v>
      </c>
      <c r="C31" s="104">
        <f>C9*Costeo!$D$129</f>
        <v>0</v>
      </c>
      <c r="D31" s="104">
        <f>D9*Costeo!$D$129</f>
        <v>0</v>
      </c>
      <c r="E31" s="104">
        <f>E9*Costeo!$D$129</f>
        <v>0</v>
      </c>
      <c r="F31" s="104">
        <f>F9*Costeo!$D$129</f>
        <v>0</v>
      </c>
      <c r="G31" s="104">
        <f>G9*Costeo!$D$129</f>
        <v>0</v>
      </c>
      <c r="H31" s="104">
        <f>H9*Costeo!$D$129</f>
        <v>0</v>
      </c>
      <c r="I31" s="104">
        <f>I9*Costeo!$D$129</f>
        <v>0</v>
      </c>
      <c r="J31" s="104">
        <f>J9*Costeo!$D$129</f>
        <v>0</v>
      </c>
      <c r="K31" s="104">
        <f>K9*Costeo!$D$129</f>
        <v>0</v>
      </c>
      <c r="L31" s="104">
        <f>L9*Costeo!$D$129</f>
        <v>0</v>
      </c>
      <c r="M31" s="104">
        <f>M9*Costeo!$D$129</f>
        <v>0</v>
      </c>
      <c r="N31" s="104">
        <f>N9*Costeo!$D$129</f>
        <v>0</v>
      </c>
      <c r="O31" s="106">
        <f>SUM(C31:N31)</f>
        <v>0</v>
      </c>
    </row>
    <row r="32" ht="19.95" customHeight="1" s="61">
      <c r="A32" s="104" t="str">
        <f>A10</f>
        <v>Enterprise mensual · 2 sedes</v>
      </c>
      <c r="B32" s="115">
        <f>Costeo!E12</f>
        <v>18885.798083333335</v>
      </c>
      <c r="C32" s="104">
        <f>C10*Costeo!$E$129</f>
        <v>0</v>
      </c>
      <c r="D32" s="104">
        <f>D10*Costeo!$E$129</f>
        <v>0</v>
      </c>
      <c r="E32" s="104">
        <f>E10*Costeo!$E$129</f>
        <v>0</v>
      </c>
      <c r="F32" s="104">
        <f>F10*Costeo!$E$129</f>
        <v>0</v>
      </c>
      <c r="G32" s="104">
        <f>G10*Costeo!$E$129</f>
        <v>0</v>
      </c>
      <c r="H32" s="104">
        <f>H10*Costeo!$E$129</f>
        <v>0</v>
      </c>
      <c r="I32" s="104">
        <f>I10*Costeo!$E$129</f>
        <v>0</v>
      </c>
      <c r="J32" s="104">
        <f>J10*Costeo!$E$129</f>
        <v>0</v>
      </c>
      <c r="K32" s="104">
        <f>K10*Costeo!$E$129</f>
        <v>0</v>
      </c>
      <c r="L32" s="104">
        <f>L10*Costeo!$E$129</f>
        <v>0</v>
      </c>
      <c r="M32" s="104">
        <f>M10*Costeo!$E$129</f>
        <v>0</v>
      </c>
      <c r="N32" s="104">
        <f>N10*Costeo!$E$129</f>
        <v>0</v>
      </c>
      <c r="O32" s="106">
        <f>SUM(C32:N32)</f>
        <v>0</v>
      </c>
    </row>
    <row r="33" ht="19.95" customHeight="1" s="61">
      <c r="A33" s="104" t="str">
        <f>A11</f>
        <v>Instalación básica</v>
      </c>
      <c r="B33" s="115">
        <f>Costeo!B22</f>
        <v>16561.272333333334</v>
      </c>
      <c r="C33" s="104">
        <f>$B33*C11</f>
        <v>82806.36166666666</v>
      </c>
      <c r="D33" s="104">
        <f>$B33*D11</f>
        <v>16561.272333333334</v>
      </c>
      <c r="E33" s="104">
        <f>$B33*E11</f>
        <v>16561.272333333334</v>
      </c>
      <c r="F33" s="104">
        <f>$B33*F11</f>
        <v>16561.272333333334</v>
      </c>
      <c r="G33" s="104">
        <f>$B33*G11</f>
        <v>16561.272333333334</v>
      </c>
      <c r="H33" s="104">
        <f>$B33*H11</f>
        <v>16561.272333333334</v>
      </c>
      <c r="I33" s="104">
        <f>$B33*I11</f>
        <v>16561.272333333334</v>
      </c>
      <c r="J33" s="104">
        <f>$B33*J11</f>
        <v>16561.272333333334</v>
      </c>
      <c r="K33" s="104">
        <f>$B33*K11</f>
        <v>16561.272333333334</v>
      </c>
      <c r="L33" s="104">
        <f>$B33*L11</f>
        <v>16561.272333333334</v>
      </c>
      <c r="M33" s="104">
        <f>$B33*M11</f>
        <v>16561.272333333334</v>
      </c>
      <c r="N33" s="104">
        <f>$B33*N11</f>
        <v>16561.272333333334</v>
      </c>
      <c r="O33" s="106">
        <f>SUM(C33:N33)</f>
        <v>264980.35733333335</v>
      </c>
    </row>
    <row r="34" ht="19.95" customHeight="1" s="61">
      <c r="A34" s="104" t="str">
        <f>A12</f>
        <v>Instalación premium</v>
      </c>
      <c r="B34" s="115">
        <f>Costeo!D22</f>
        <v>37262.86275</v>
      </c>
      <c r="C34" s="104">
        <f>$B34*C12</f>
        <v>0</v>
      </c>
      <c r="D34" s="104">
        <f>$B34*D12</f>
        <v>0</v>
      </c>
      <c r="E34" s="104">
        <f>$B34*E12</f>
        <v>0</v>
      </c>
      <c r="F34" s="104">
        <f>$B34*F12</f>
        <v>0</v>
      </c>
      <c r="G34" s="104">
        <f>$B34*G12</f>
        <v>0</v>
      </c>
      <c r="H34" s="104">
        <f>$B34*H12</f>
        <v>0</v>
      </c>
      <c r="I34" s="104">
        <f>$B34*I12</f>
        <v>0</v>
      </c>
      <c r="J34" s="104">
        <f>$B34*J12</f>
        <v>0</v>
      </c>
      <c r="K34" s="104">
        <f>$B34*K12</f>
        <v>0</v>
      </c>
      <c r="L34" s="104">
        <f>$B34*L12</f>
        <v>0</v>
      </c>
      <c r="M34" s="104">
        <f>$B34*M12</f>
        <v>0</v>
      </c>
      <c r="N34" s="104">
        <f>$B34*N12</f>
        <v>0</v>
      </c>
      <c r="O34" s="106">
        <f>SUM(C34:N34)</f>
        <v>0</v>
      </c>
    </row>
    <row r="35" ht="19.95" customHeight="1" s="61">
      <c r="A35" s="104" t="inlineStr">
        <is>
          <t>Plataforma: fijos + excedentes + arranque</t>
        </is>
      </c>
      <c r="B35" s="115">
        <f>Costeo!B28</f>
        <v>114247.54466666667</v>
      </c>
      <c r="C35" s="104">
        <f>Costeo!$B$28*C13+Costeo!D138+Costeo!$E$90+(3*2*2000+2*4000+8000+2*2*3000-Costeo!$C$103)+(6*3*2-2*3*2)*Costeo!$B$50</f>
        <v>390666.6296666666</v>
      </c>
      <c r="D35" s="104">
        <f>Costeo!$B$28*D13+Costeo!D139</f>
        <v>114247.54466666667</v>
      </c>
      <c r="E35" s="104">
        <f>Costeo!$B$28*E13+Costeo!D140</f>
        <v>114247.54466666667</v>
      </c>
      <c r="F35" s="104">
        <f>Costeo!$B$28*F13+Costeo!D141</f>
        <v>124247.54466666667</v>
      </c>
      <c r="G35" s="104">
        <f>Costeo!$B$28*G13+Costeo!D142</f>
        <v>124247.54466666667</v>
      </c>
      <c r="H35" s="104">
        <f>Costeo!$B$28*H13+Costeo!D143</f>
        <v>124247.54466666667</v>
      </c>
      <c r="I35" s="104">
        <f>Costeo!$B$28*I13+Costeo!D144</f>
        <v>124247.54466666667</v>
      </c>
      <c r="J35" s="104">
        <f>Costeo!$B$28*J13+Costeo!D145</f>
        <v>126747.54466666667</v>
      </c>
      <c r="K35" s="104">
        <f>Costeo!$B$28*K13+Costeo!D146</f>
        <v>126747.54466666667</v>
      </c>
      <c r="L35" s="104">
        <f>Costeo!$B$28*L13+Costeo!D147</f>
        <v>126747.54466666667</v>
      </c>
      <c r="M35" s="104">
        <f>Costeo!$B$28*M13+Costeo!D148</f>
        <v>126747.54466666667</v>
      </c>
      <c r="N35" s="104">
        <f>Costeo!$B$28*N13+Costeo!D149</f>
        <v>126747.54466666667</v>
      </c>
      <c r="O35" s="106">
        <f>SUM(C35:N35)</f>
        <v>1749889.6210000003</v>
      </c>
    </row>
    <row r="36" ht="19.95" customHeight="1" s="61">
      <c r="A36" s="104" t="str">
        <f>A14</f>
        <v>Instalación Enterprise · 2 sedes</v>
      </c>
      <c r="B36" s="115">
        <f>Costeo!E22</f>
        <v>74525.7255</v>
      </c>
      <c r="C36" s="104">
        <f>$B36*C14</f>
        <v>0</v>
      </c>
      <c r="D36" s="104">
        <f>$B36*D14</f>
        <v>0</v>
      </c>
      <c r="E36" s="104">
        <f>$B36*E14</f>
        <v>0</v>
      </c>
      <c r="F36" s="104">
        <f>$B36*F14</f>
        <v>0</v>
      </c>
      <c r="G36" s="104">
        <f>$B36*G14</f>
        <v>0</v>
      </c>
      <c r="H36" s="104">
        <f>$B36*H14</f>
        <v>0</v>
      </c>
      <c r="I36" s="104">
        <f>$B36*I14</f>
        <v>0</v>
      </c>
      <c r="J36" s="104">
        <f>$B36*J14</f>
        <v>0</v>
      </c>
      <c r="K36" s="104">
        <f>$B36*K14</f>
        <v>0</v>
      </c>
      <c r="L36" s="104">
        <f>$B36*L14</f>
        <v>0</v>
      </c>
      <c r="M36" s="104">
        <f>$B36*M14</f>
        <v>0</v>
      </c>
      <c r="N36" s="104">
        <f>$B36*N14</f>
        <v>0</v>
      </c>
      <c r="O36" s="106">
        <f>SUM(C36:N36)</f>
        <v>0</v>
      </c>
    </row>
    <row r="37" ht="19.95" customHeight="1" s="61">
      <c r="A37" s="108" t="inlineStr">
        <is>
          <t>TOTAL COSTOS PRESUPUESTADOS</t>
        </is>
      </c>
      <c r="B37" s="108" t="n"/>
      <c r="C37" s="108">
        <f>SUM(C29:C36)</f>
        <v>480631.1789375</v>
      </c>
      <c r="D37" s="108">
        <f>SUM(D29:D36)</f>
        <v>139452.494125</v>
      </c>
      <c r="E37" s="108">
        <f>SUM(E29:E36)</f>
        <v>140937.98364583333</v>
      </c>
      <c r="F37" s="108">
        <f>SUM(F29:F36)</f>
        <v>152423.4731666667</v>
      </c>
      <c r="G37" s="108">
        <f>SUM(G29:G36)</f>
        <v>153908.9626875</v>
      </c>
      <c r="H37" s="108">
        <f>SUM(H29:H36)</f>
        <v>153908.9626875</v>
      </c>
      <c r="I37" s="108">
        <f>SUM(I29:I36)</f>
        <v>155394.45220833336</v>
      </c>
      <c r="J37" s="108">
        <f>SUM(J29:J36)</f>
        <v>159379.94172916666</v>
      </c>
      <c r="K37" s="108">
        <f>SUM(K29:K36)</f>
        <v>160865.43125000002</v>
      </c>
      <c r="L37" s="108">
        <f>SUM(L29:L36)</f>
        <v>160865.43125000002</v>
      </c>
      <c r="M37" s="108">
        <f>SUM(M29:M36)</f>
        <v>162350.92077083336</v>
      </c>
      <c r="N37" s="108">
        <f>SUM(N29:N36)</f>
        <v>163836.4102916667</v>
      </c>
      <c r="O37" s="108">
        <f>SUM(C37:N37)</f>
        <v>2183955.6427499996</v>
      </c>
    </row>
  </sheetData>
  <mergeCells count="1">
    <mergeCell ref="A1:O1"/>
  </mergeCells>
  <dataValidations count="2">
    <dataValidation sqref="C7:N7 C8:N8 C9:N9 C10:N10 C11:N11 C12:N12 C14:N14" showDropDown="0" showInputMessage="0" showErrorMessage="1" allowBlank="0" errorTitle="Cantidad no válida" error="Ingresa un número entero igual o mayor que cero." type="whole" operator="greaterThanOrEqual">
      <formula1>0</formula1>
    </dataValidation>
    <dataValidation sqref="B12 B14" showDropDown="0" showInputMessage="0" showErrorMessage="1" allowBlank="0" error="Ingresa un precio en CRC igual o mayor que cero. Cero indica cotización pendiente." type="decimal" operator="greaterThanOrEqual">
      <formula1>0</formula1>
    </dataValidation>
  </dataValidations>
  <pageMargins left="0.75" right="0.75" top="1" bottom="1" header="0.5" footer="0.5"/>
  <pageSetup orientation="landscape" paperSize="8" fitToHeight="0"/>
  <legacyDrawing r:id="anysvml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:E176"/>
  <sheetViews>
    <sheetView showGridLines="0" topLeftCell="A46" zoomScale="90" workbookViewId="0">
      <selection activeCell="A1" sqref="A1:E1"/>
    </sheetView>
  </sheetViews>
  <sheetFormatPr baseColWidth="10" defaultColWidth="8.88671875" defaultRowHeight="14.4" outlineLevelRow="1"/>
  <cols>
    <col width="30" customWidth="1" style="61" min="1" max="1"/>
    <col width="24" customWidth="1" style="61" min="2" max="2"/>
    <col width="27" customWidth="1" style="61" min="3" max="4"/>
    <col width="24" customWidth="1" style="61" min="5" max="5"/>
  </cols>
  <sheetData>
    <row r="1" ht="55.05" customHeight="1" s="61">
      <c r="A1" s="75" t="inlineStr">
        <is>
          <t>COSTOS Y EQUILIBRIO · Compara planes exclusivos: mínimo de gimnasios para cubrir operación. Incluye costos variables, fijos y escalones de infraestructura.</t>
        </is>
      </c>
      <c r="B1" s="116" t="n"/>
      <c r="C1" s="116" t="n"/>
      <c r="D1" s="116" t="n"/>
      <c r="E1" s="116" t="n"/>
    </row>
    <row r="2" ht="36" customHeight="1" s="61">
      <c r="A2" s="76" t="inlineStr">
        <is>
          <t>Proyección con los alcances definidos. Cada fila supone vender sólo ese plan; la cartera mixta se consulta en el detalle.</t>
        </is>
      </c>
      <c r="B2" s="116" t="n"/>
      <c r="C2" s="116" t="n"/>
      <c r="D2" s="116" t="n"/>
      <c r="E2" s="116" t="n"/>
    </row>
    <row r="3" ht="30" customHeight="1" s="61">
      <c r="A3" s="75" t="inlineStr">
        <is>
          <t>1 · COSTO COMÚN DE PULSO | se paga una sola vez</t>
        </is>
      </c>
      <c r="B3" s="116" t="n"/>
      <c r="C3" s="116" t="n"/>
      <c r="D3" s="116" t="n"/>
      <c r="E3" s="116" t="n"/>
    </row>
    <row r="4" ht="36" customHeight="1" s="61">
      <c r="A4" s="49" t="inlineStr">
        <is>
          <t>Fijo operativo mensual</t>
        </is>
      </c>
      <c r="B4" s="117">
        <f>Costeo!B28</f>
        <v>114247.54466666667</v>
      </c>
      <c r="C4" s="116" t="n"/>
      <c r="D4" s="116" t="n"/>
      <c r="E4" s="116" t="n"/>
    </row>
    <row r="5" ht="36" customHeight="1" s="61">
      <c r="A5" s="76" t="inlineStr">
        <is>
          <t>Costos comunes actualizados: proveedores + viáticos recurrentes + trabajo de mantenimiento y captación. Mes 1 incorpora campaña inicial adicional.</t>
        </is>
      </c>
      <c r="B5" s="116" t="n"/>
      <c r="C5" s="116" t="n"/>
      <c r="D5" s="116" t="n"/>
      <c r="E5" s="116" t="n"/>
    </row>
    <row r="6" ht="7.95" customHeight="1" s="61"/>
    <row r="7" ht="30" customHeight="1" s="61">
      <c r="A7" s="75" t="inlineStr">
        <is>
          <t>2 · COMPARACIÓN POR PLAN | CRC por gimnasio / mes</t>
        </is>
      </c>
      <c r="B7" s="116" t="n"/>
      <c r="C7" s="116" t="n"/>
      <c r="D7" s="116" t="n"/>
      <c r="E7" s="116" t="n"/>
    </row>
    <row r="8" ht="48" customHeight="1" s="61">
      <c r="A8" s="49" t="inlineStr">
        <is>
          <t>Plan</t>
        </is>
      </c>
      <c r="B8" s="49" t="inlineStr">
        <is>
          <t>Precio mensual</t>
        </is>
      </c>
      <c r="C8" s="49" t="inlineStr">
        <is>
          <t>Costo variable base</t>
        </is>
      </c>
      <c r="D8" s="49" t="inlineStr">
        <is>
          <t>Aporte antes de fijos y excedentes</t>
        </is>
      </c>
      <c r="E8" s="49" t="inlineStr">
        <is>
          <t>Gimnasios mínimos</t>
        </is>
      </c>
    </row>
    <row r="9" ht="30" customHeight="1" s="61">
      <c r="A9" s="49" t="inlineStr">
        <is>
          <t>Starter</t>
        </is>
      </c>
      <c r="B9" s="118">
        <f>'PPTO Vtas Productos'!C5</f>
        <v>15000</v>
      </c>
      <c r="C9" s="118">
        <f>Costeo!B129</f>
        <v>1216.2295208333335</v>
      </c>
      <c r="D9" s="118">
        <f>B9-C9</f>
        <v>13783.770479166666</v>
      </c>
      <c r="E9" s="51">
        <f>IF(MIN(B52:B176)&lt;1000000000,MIN(B52:B176),"Fuera de alcance")</f>
        <v>9</v>
      </c>
    </row>
    <row r="10" ht="30" customHeight="1" s="61">
      <c r="A10" s="49" t="inlineStr">
        <is>
          <t>Pro Gym</t>
        </is>
      </c>
      <c r="B10" s="118">
        <f>'PPTO Vtas Productos'!C6</f>
        <v>25000</v>
      </c>
      <c r="C10" s="118">
        <f>Costeo!C129</f>
        <v>1485.4895208333332</v>
      </c>
      <c r="D10" s="118">
        <f>B10-C10</f>
        <v>23514.510479166667</v>
      </c>
      <c r="E10" s="51">
        <f>IF(MIN(C52:C176)&lt;1000000000,MIN(C52:C176),"Fuera de alcance")</f>
        <v>5</v>
      </c>
    </row>
    <row r="11" ht="30" customHeight="1" s="61">
      <c r="A11" s="49" t="inlineStr">
        <is>
          <t>Premium</t>
        </is>
      </c>
      <c r="B11" s="118">
        <f>'PPTO Vtas Productos'!C7</f>
        <v>45000</v>
      </c>
      <c r="C11" s="118">
        <f>Costeo!D129</f>
        <v>13193.719041666667</v>
      </c>
      <c r="D11" s="118">
        <f>B11-C11</f>
        <v>31806.280958333333</v>
      </c>
      <c r="E11" s="51">
        <f>IF(MIN(D52:D176)&lt;1000000000,MIN(D52:D176),"Fuera de alcance")</f>
        <v>4</v>
      </c>
    </row>
    <row r="12" ht="30" customHeight="1" s="61">
      <c r="A12" s="49" t="inlineStr">
        <is>
          <t>Enterprise</t>
        </is>
      </c>
      <c r="B12" s="118">
        <f>'PPTO Vtas Productos'!C8</f>
        <v>70000</v>
      </c>
      <c r="C12" s="118">
        <f>Costeo!E129</f>
        <v>18885.798083333335</v>
      </c>
      <c r="D12" s="118">
        <f>B12-C12</f>
        <v>51114.201916666665</v>
      </c>
      <c r="E12" s="51">
        <f>IF(MIN(E52:E176)&lt;1000000000,MIN(E52:E176),"Fuera de alcance")</f>
        <v>3</v>
      </c>
    </row>
    <row r="13" ht="36" customHeight="1" s="61">
      <c r="A13" s="76" t="inlineStr">
        <is>
          <t>Costo variable base: soporte, correos, IA y proyectos dedicados. El mínimo incorpora también los incrementos de nube del escenario.</t>
        </is>
      </c>
      <c r="B13" s="116" t="n"/>
      <c r="C13" s="116" t="n"/>
      <c r="D13" s="116" t="n"/>
      <c r="E13" s="116" t="n"/>
    </row>
    <row r="14" ht="7.95" customHeight="1" s="61"/>
    <row r="15" ht="30" customHeight="1" s="61">
      <c r="A15" s="75" t="inlineStr">
        <is>
          <t>3 · COMPROBACIÓN | un gimnasio menos frente al mínimo</t>
        </is>
      </c>
      <c r="B15" s="116" t="n"/>
      <c r="C15" s="116" t="n"/>
      <c r="D15" s="116" t="n"/>
      <c r="E15" s="116" t="n"/>
    </row>
    <row r="16" ht="54" customHeight="1" s="61">
      <c r="A16" s="49" t="inlineStr">
        <is>
          <t>Plan</t>
        </is>
      </c>
      <c r="B16" s="49" t="inlineStr">
        <is>
          <t>Gimnasios: uno menos</t>
        </is>
      </c>
      <c r="C16" s="49" t="inlineStr">
        <is>
          <t>Resultado mensual con uno menos</t>
        </is>
      </c>
      <c r="D16" s="49" t="inlineStr">
        <is>
          <t>Gimnasios: mínimo</t>
        </is>
      </c>
      <c r="E16" s="49" t="inlineStr">
        <is>
          <t>Resultado mensual al mínimo</t>
        </is>
      </c>
    </row>
    <row r="17" ht="30" customHeight="1" s="61">
      <c r="A17" s="49" t="inlineStr">
        <is>
          <t>Starter</t>
        </is>
      </c>
      <c r="B17" s="52">
        <f>IF(ISNUMBER(E9),E9-1,0)</f>
        <v>8.0</v>
      </c>
      <c r="C17" s="119">
        <f>IF(ISNUMBER(E9),(B17)*$D$9-$B$4-((ROUND((MAX(0,(B17*Costeo!$B$117+0*Costeo!$C$117+0*Costeo!$D$117+0*Costeo!$E$117)-100)*Costeo!$B$53+MAX(0,(B17*Costeo!$B$118+0*Costeo!$C$118+0*Costeo!$D$118+0*Costeo!$E$118)-250)*Costeo!$B$52+(MAX(0,ROUNDUP(((B17*Costeo!$B$116+0*Costeo!$C$116)+(0*Costeo!$D$116+0*Costeo!$E$116)*0.05)*2,0)-8)+(B17*Costeo!$B$131+0*Costeo!$C$131+0*Costeo!$D$131+0*Costeo!$E$131))*Costeo!$B$54+IF((B17*Costeo!$B$36+0*Costeo!$C$36)&lt;=2000,10,IF((B17*Costeo!$B$36+0*Costeo!$C$36)&lt;=5000,15,IF((B17*Costeo!$B$36+0*Costeo!$C$36)&lt;=10000,60,110)))-10)*Costeo!$B$51,2))+(ROUND((MAX(0,(B17*Costeo!$B$130+0*Costeo!$C$130+0*Costeo!$D$130+0*Costeo!$E$130)+20*2*2*Costeo!$B$69+30*(1/3600*Costeo!$B$55+5/3600*Costeo!$B$56)-Costeo!$B$58)+IF(AND((B17*Costeo!$B$120+0*Costeo!$C$120+0*Costeo!$D$120+0*Costeo!$E$120)&lt;=1000000,(B17*Costeo!$B$119+0*Costeo!$C$119+0*Costeo!$D$119+0*Costeo!$E$119)&lt;=1000),0,IF((B17*Costeo!$B$120+0*Costeo!$C$120+0*Costeo!$D$120+0*Costeo!$E$120)&lt;=10000000,20,IF((B17*Costeo!$B$120+0*Costeo!$C$120+0*Costeo!$D$120+0*Costeo!$E$120)&lt;=50000000,100,300)))+MAX(0,ROUNDUP((B17*Costeo!$B$36+0*Costeo!$C$36+0*Costeo!$D$36+0*Costeo!$E$36)/5000,0)-1)*Costeo!$B$62+IF((B17*Costeo!$B$36+0*Costeo!$C$36+0*Costeo!$D$36+0*Costeo!$E$36)&gt;5000,32-Costeo!$B$61,0))*Costeo!$B$51,2))),"Fuera de alcance")</f>
        <v>-3977.3808333333436</v>
      </c>
      <c r="D17" s="52">
        <f>E9</f>
        <v>9</v>
      </c>
      <c r="E17" s="120">
        <f>IF(ISNUMBER(E9),(D17)*$D$9-$B$4-((ROUND((MAX(0,(D17*Costeo!$B$117+0*Costeo!$C$117+0*Costeo!$D$117+0*Costeo!$E$117)-100)*Costeo!$B$53+MAX(0,(D17*Costeo!$B$118+0*Costeo!$C$118+0*Costeo!$D$118+0*Costeo!$E$118)-250)*Costeo!$B$52+(MAX(0,ROUNDUP(((D17*Costeo!$B$116+0*Costeo!$C$116)+(0*Costeo!$D$116+0*Costeo!$E$116)*0.05)*2,0)-8)+(D17*Costeo!$B$131+0*Costeo!$C$131+0*Costeo!$D$131+0*Costeo!$E$131))*Costeo!$B$54+IF((D17*Costeo!$B$36+0*Costeo!$C$36)&lt;=2000,10,IF((D17*Costeo!$B$36+0*Costeo!$C$36)&lt;=5000,15,IF((D17*Costeo!$B$36+0*Costeo!$C$36)&lt;=10000,60,110)))-10)*Costeo!$B$51,2))+(ROUND((MAX(0,(D17*Costeo!$B$130+0*Costeo!$C$130+0*Costeo!$D$130+0*Costeo!$E$130)+20*2*2*Costeo!$B$69+30*(1/3600*Costeo!$B$55+5/3600*Costeo!$B$56)-Costeo!$B$58)+IF(AND((D17*Costeo!$B$120+0*Costeo!$C$120+0*Costeo!$D$120+0*Costeo!$E$120)&lt;=1000000,(D17*Costeo!$B$119+0*Costeo!$C$119+0*Costeo!$D$119+0*Costeo!$E$119)&lt;=1000),0,IF((D17*Costeo!$B$120+0*Costeo!$C$120+0*Costeo!$D$120+0*Costeo!$E$120)&lt;=10000000,20,IF((D17*Costeo!$B$120+0*Costeo!$C$120+0*Costeo!$D$120+0*Costeo!$E$120)&lt;=50000000,100,300)))+MAX(0,ROUNDUP((D17*Costeo!$B$36+0*Costeo!$C$36+0*Costeo!$D$36+0*Costeo!$E$36)/5000,0)-1)*Costeo!$B$62+IF((D17*Costeo!$B$36+0*Costeo!$C$36+0*Costeo!$D$36+0*Costeo!$E$36)&gt;5000,32-Costeo!$B$61,0))*Costeo!$B$51,2))),"Fuera de alcance")</f>
        <v>9806.389645833318</v>
      </c>
    </row>
    <row r="18" ht="30" customHeight="1" s="61">
      <c r="A18" s="49" t="inlineStr">
        <is>
          <t>Pro Gym</t>
        </is>
      </c>
      <c r="B18" s="52">
        <f>IF(ISNUMBER(E10),E10-1,0)</f>
        <v>4.0</v>
      </c>
      <c r="C18" s="119">
        <f>IF(ISNUMBER(E10),(B18)*$D$10-$B$4-((ROUND((MAX(0,(0*Costeo!$B$117+B18*Costeo!$C$117+0*Costeo!$D$117+0*Costeo!$E$117)-100)*Costeo!$B$53+MAX(0,(0*Costeo!$B$118+B18*Costeo!$C$118+0*Costeo!$D$118+0*Costeo!$E$118)-250)*Costeo!$B$52+(MAX(0,ROUNDUP(((0*Costeo!$B$116+B18*Costeo!$C$116)+(0*Costeo!$D$116+0*Costeo!$E$116)*0.05)*2,0)-8)+(0*Costeo!$B$131+B18*Costeo!$C$131+0*Costeo!$D$131+0*Costeo!$E$131))*Costeo!$B$54+IF((0*Costeo!$B$36+B18*Costeo!$C$36)&lt;=2000,10,IF((0*Costeo!$B$36+B18*Costeo!$C$36)&lt;=5000,15,IF((0*Costeo!$B$36+B18*Costeo!$C$36)&lt;=10000,60,110)))-10)*Costeo!$B$51,2))+(ROUND((MAX(0,(0*Costeo!$B$130+B18*Costeo!$C$130+0*Costeo!$D$130+0*Costeo!$E$130)+20*2*2*Costeo!$B$69+30*(1/3600*Costeo!$B$55+5/3600*Costeo!$B$56)-Costeo!$B$58)+IF(AND((0*Costeo!$B$120+B18*Costeo!$C$120+0*Costeo!$D$120+0*Costeo!$E$120)&lt;=1000000,(0*Costeo!$B$119+B18*Costeo!$C$119+0*Costeo!$D$119+0*Costeo!$E$119)&lt;=1000),0,IF((0*Costeo!$B$120+B18*Costeo!$C$120+0*Costeo!$D$120+0*Costeo!$E$120)&lt;=10000000,20,IF((0*Costeo!$B$120+B18*Costeo!$C$120+0*Costeo!$D$120+0*Costeo!$E$120)&lt;=50000000,100,300)))+MAX(0,ROUNDUP((0*Costeo!$B$36+B18*Costeo!$C$36+0*Costeo!$D$36+0*Costeo!$E$36)/5000,0)-1)*Costeo!$B$62+IF((0*Costeo!$B$36+B18*Costeo!$C$36+0*Costeo!$D$36+0*Costeo!$E$36)&gt;5000,32-Costeo!$B$61,0))*Costeo!$B$51,2))),"Fuera de alcance")</f>
        <v>-20189.50275</v>
      </c>
      <c r="D18" s="52">
        <f>E10</f>
        <v>5</v>
      </c>
      <c r="E18" s="120">
        <f>IF(ISNUMBER(E10),(D18)*$D$10-$B$4-((ROUND((MAX(0,(0*Costeo!$B$117+D18*Costeo!$C$117+0*Costeo!$D$117+0*Costeo!$E$117)-100)*Costeo!$B$53+MAX(0,(0*Costeo!$B$118+D18*Costeo!$C$118+0*Costeo!$D$118+0*Costeo!$E$118)-250)*Costeo!$B$52+(MAX(0,ROUNDUP(((0*Costeo!$B$116+D18*Costeo!$C$116)+(0*Costeo!$D$116+0*Costeo!$E$116)*0.05)*2,0)-8)+(0*Costeo!$B$131+D18*Costeo!$C$131+0*Costeo!$D$131+0*Costeo!$E$131))*Costeo!$B$54+IF((0*Costeo!$B$36+D18*Costeo!$C$36)&lt;=2000,10,IF((0*Costeo!$B$36+D18*Costeo!$C$36)&lt;=5000,15,IF((0*Costeo!$B$36+D18*Costeo!$C$36)&lt;=10000,60,110)))-10)*Costeo!$B$51,2))+(ROUND((MAX(0,(0*Costeo!$B$130+D18*Costeo!$C$130+0*Costeo!$D$130+0*Costeo!$E$130)+20*2*2*Costeo!$B$69+30*(1/3600*Costeo!$B$55+5/3600*Costeo!$B$56)-Costeo!$B$58)+IF(AND((0*Costeo!$B$120+D18*Costeo!$C$120+0*Costeo!$D$120+0*Costeo!$E$120)&lt;=1000000,(0*Costeo!$B$119+D18*Costeo!$C$119+0*Costeo!$D$119+0*Costeo!$E$119)&lt;=1000),0,IF((0*Costeo!$B$120+D18*Costeo!$C$120+0*Costeo!$D$120+0*Costeo!$E$120)&lt;=10000000,20,IF((0*Costeo!$B$120+D18*Costeo!$C$120+0*Costeo!$D$120+0*Costeo!$E$120)&lt;=50000000,100,300)))+MAX(0,ROUNDUP((0*Costeo!$B$36+D18*Costeo!$C$36+0*Costeo!$D$36+0*Costeo!$E$36)/5000,0)-1)*Costeo!$B$62+IF((0*Costeo!$B$36+D18*Costeo!$C$36+0*Costeo!$D$36+0*Costeo!$E$36)&gt;5000,32-Costeo!$B$61,0))*Costeo!$B$51,2))),"Fuera de alcance")</f>
        <v>3325.0077291666676</v>
      </c>
    </row>
    <row r="19" ht="30" customHeight="1" s="61">
      <c r="A19" s="49" t="inlineStr">
        <is>
          <t>Premium</t>
        </is>
      </c>
      <c r="B19" s="52">
        <f>IF(ISNUMBER(E11),E11-1,0)</f>
        <v>3.0</v>
      </c>
      <c r="C19" s="119">
        <f>IF(ISNUMBER(E11),(B19)*$D$11-$B$4-((ROUND((MAX(0,(0*Costeo!$B$117+0*Costeo!$C$117+B19*Costeo!$D$117+0*Costeo!$E$117)-100)*Costeo!$B$53+MAX(0,(0*Costeo!$B$118+0*Costeo!$C$118+B19*Costeo!$D$118+0*Costeo!$E$118)-250)*Costeo!$B$52+(MAX(0,ROUNDUP(((0*Costeo!$B$116+0*Costeo!$C$116)+(B19*Costeo!$D$116+0*Costeo!$E$116)*0.05)*2,0)-8)+(0*Costeo!$B$131+0*Costeo!$C$131+B19*Costeo!$D$131+0*Costeo!$E$131))*Costeo!$B$54+IF((0*Costeo!$B$36+0*Costeo!$C$36)&lt;=2000,10,IF((0*Costeo!$B$36+0*Costeo!$C$36)&lt;=5000,15,IF((0*Costeo!$B$36+0*Costeo!$C$36)&lt;=10000,60,110)))-10)*Costeo!$B$51,2))+(ROUND((MAX(0,(0*Costeo!$B$130+0*Costeo!$C$130+B19*Costeo!$D$130+0*Costeo!$E$130)+20*2*2*Costeo!$B$69+30*(1/3600*Costeo!$B$55+5/3600*Costeo!$B$56)-Costeo!$B$58)+IF(AND((0*Costeo!$B$120+0*Costeo!$C$120+B19*Costeo!$D$120+0*Costeo!$E$120)&lt;=1000000,(0*Costeo!$B$119+0*Costeo!$C$119+B19*Costeo!$D$119+0*Costeo!$E$119)&lt;=1000),0,IF((0*Costeo!$B$120+0*Costeo!$C$120+B19*Costeo!$D$120+0*Costeo!$E$120)&lt;=10000000,20,IF((0*Costeo!$B$120+0*Costeo!$C$120+B19*Costeo!$D$120+0*Costeo!$E$120)&lt;=50000000,100,300)))+MAX(0,ROUNDUP((0*Costeo!$B$36+0*Costeo!$C$36+B19*Costeo!$D$36+0*Costeo!$E$36)/5000,0)-1)*Costeo!$B$62+IF((0*Costeo!$B$36+0*Costeo!$C$36+B19*Costeo!$D$36+0*Costeo!$E$36)&gt;5000,32-Costeo!$B$61,0))*Costeo!$B$51,2))),"Fuera de alcance")</f>
        <v>-28828.701791666666</v>
      </c>
      <c r="D19" s="52">
        <f>E11</f>
        <v>4</v>
      </c>
      <c r="E19" s="120">
        <f>IF(ISNUMBER(E11),(D19)*$D$11-$B$4-((ROUND((MAX(0,(0*Costeo!$B$117+0*Costeo!$C$117+D19*Costeo!$D$117+0*Costeo!$E$117)-100)*Costeo!$B$53+MAX(0,(0*Costeo!$B$118+0*Costeo!$C$118+D19*Costeo!$D$118+0*Costeo!$E$118)-250)*Costeo!$B$52+(MAX(0,ROUNDUP(((0*Costeo!$B$116+0*Costeo!$C$116)+(D19*Costeo!$D$116+0*Costeo!$E$116)*0.05)*2,0)-8)+(0*Costeo!$B$131+0*Costeo!$C$131+D19*Costeo!$D$131+0*Costeo!$E$131))*Costeo!$B$54+IF((0*Costeo!$B$36+0*Costeo!$C$36)&lt;=2000,10,IF((0*Costeo!$B$36+0*Costeo!$C$36)&lt;=5000,15,IF((0*Costeo!$B$36+0*Costeo!$C$36)&lt;=10000,60,110)))-10)*Costeo!$B$51,2))+(ROUND((MAX(0,(0*Costeo!$B$130+0*Costeo!$C$130+D19*Costeo!$D$130+0*Costeo!$E$130)+20*2*2*Costeo!$B$69+30*(1/3600*Costeo!$B$55+5/3600*Costeo!$B$56)-Costeo!$B$58)+IF(AND((0*Costeo!$B$120+0*Costeo!$C$120+D19*Costeo!$D$120+0*Costeo!$E$120)&lt;=1000000,(0*Costeo!$B$119+0*Costeo!$C$119+D19*Costeo!$D$119+0*Costeo!$E$119)&lt;=1000),0,IF((0*Costeo!$B$120+0*Costeo!$C$120+D19*Costeo!$D$120+0*Costeo!$E$120)&lt;=10000000,20,IF((0*Costeo!$B$120+0*Costeo!$C$120+D19*Costeo!$D$120+0*Costeo!$E$120)&lt;=50000000,100,300)))+MAX(0,ROUNDUP((0*Costeo!$B$36+0*Costeo!$C$36+D19*Costeo!$D$36+0*Costeo!$E$36)/5000,0)-1)*Costeo!$B$62+IF((0*Costeo!$B$36+0*Costeo!$C$36+D19*Costeo!$D$36+0*Costeo!$E$36)&gt;5000,32-Costeo!$B$61,0))*Costeo!$B$51,2))),"Fuera de alcance")</f>
        <v>2977.579166666663</v>
      </c>
    </row>
    <row r="20" ht="30" customHeight="1" s="61">
      <c r="A20" s="49" t="inlineStr">
        <is>
          <t>Enterprise</t>
        </is>
      </c>
      <c r="B20" s="52">
        <f>IF(ISNUMBER(E12),E12-1,0)</f>
        <v>2.0</v>
      </c>
      <c r="C20" s="119">
        <f>IF(ISNUMBER(E12),(B20)*$D$12-$B$4-((ROUND((MAX(0,(0*Costeo!$B$117+0*Costeo!$C$117+0*Costeo!$D$117+B20*Costeo!$E$117)-100)*Costeo!$B$53+MAX(0,(0*Costeo!$B$118+0*Costeo!$C$118+0*Costeo!$D$118+B20*Costeo!$E$118)-250)*Costeo!$B$52+(MAX(0,ROUNDUP(((0*Costeo!$B$116+0*Costeo!$C$116)+(0*Costeo!$D$116+B20*Costeo!$E$116)*0.05)*2,0)-8)+(0*Costeo!$B$131+0*Costeo!$C$131+0*Costeo!$D$131+B20*Costeo!$E$131))*Costeo!$B$54+IF((0*Costeo!$B$36+0*Costeo!$C$36)&lt;=2000,10,IF((0*Costeo!$B$36+0*Costeo!$C$36)&lt;=5000,15,IF((0*Costeo!$B$36+0*Costeo!$C$36)&lt;=10000,60,110)))-10)*Costeo!$B$51,2))+(ROUND((MAX(0,(0*Costeo!$B$130+0*Costeo!$C$130+0*Costeo!$D$130+B20*Costeo!$E$130)+20*2*2*Costeo!$B$69+30*(1/3600*Costeo!$B$55+5/3600*Costeo!$B$56)-Costeo!$B$58)+IF(AND((0*Costeo!$B$120+0*Costeo!$C$120+0*Costeo!$D$120+B20*Costeo!$E$120)&lt;=1000000,(0*Costeo!$B$119+0*Costeo!$C$119+0*Costeo!$D$119+B20*Costeo!$E$119)&lt;=1000),0,IF((0*Costeo!$B$120+0*Costeo!$C$120+0*Costeo!$D$120+B20*Costeo!$E$120)&lt;=10000000,20,IF((0*Costeo!$B$120+0*Costeo!$C$120+0*Costeo!$D$120+B20*Costeo!$E$120)&lt;=50000000,100,300)))+MAX(0,ROUNDUP((0*Costeo!$B$36+0*Costeo!$C$36+0*Costeo!$D$36+B20*Costeo!$E$36)/5000,0)-1)*Costeo!$B$62+IF((0*Costeo!$B$36+0*Costeo!$C$36+0*Costeo!$D$36+B20*Costeo!$E$36)&gt;5000,32-Costeo!$B$61,0))*Costeo!$B$51,2))),"Fuera de alcance")</f>
        <v>-22019.14083333334</v>
      </c>
      <c r="D20" s="52">
        <f>E12</f>
        <v>3</v>
      </c>
      <c r="E20" s="120">
        <f>IF(ISNUMBER(E12),(D20)*$D$12-$B$4-((ROUND((MAX(0,(0*Costeo!$B$117+0*Costeo!$C$117+0*Costeo!$D$117+D20*Costeo!$E$117)-100)*Costeo!$B$53+MAX(0,(0*Costeo!$B$118+0*Costeo!$C$118+0*Costeo!$D$118+D20*Costeo!$E$118)-250)*Costeo!$B$52+(MAX(0,ROUNDUP(((0*Costeo!$B$116+0*Costeo!$C$116)+(0*Costeo!$D$116+D20*Costeo!$E$116)*0.05)*2,0)-8)+(0*Costeo!$B$131+0*Costeo!$C$131+0*Costeo!$D$131+D20*Costeo!$E$131))*Costeo!$B$54+IF((0*Costeo!$B$36+0*Costeo!$C$36)&lt;=2000,10,IF((0*Costeo!$B$36+0*Costeo!$C$36)&lt;=5000,15,IF((0*Costeo!$B$36+0*Costeo!$C$36)&lt;=10000,60,110)))-10)*Costeo!$B$51,2))+(ROUND((MAX(0,(0*Costeo!$B$130+0*Costeo!$C$130+0*Costeo!$D$130+D20*Costeo!$E$130)+20*2*2*Costeo!$B$69+30*(1/3600*Costeo!$B$55+5/3600*Costeo!$B$56)-Costeo!$B$58)+IF(AND((0*Costeo!$B$120+0*Costeo!$C$120+0*Costeo!$D$120+D20*Costeo!$E$120)&lt;=1000000,(0*Costeo!$B$119+0*Costeo!$C$119+0*Costeo!$D$119+D20*Costeo!$E$119)&lt;=1000),0,IF((0*Costeo!$B$120+0*Costeo!$C$120+0*Costeo!$D$120+D20*Costeo!$E$120)&lt;=10000000,20,IF((0*Costeo!$B$120+0*Costeo!$C$120+0*Costeo!$D$120+D20*Costeo!$E$120)&lt;=50000000,100,300)))+MAX(0,ROUNDUP((0*Costeo!$B$36+0*Costeo!$C$36+0*Costeo!$D$36+D20*Costeo!$E$36)/5000,0)-1)*Costeo!$B$62+IF((0*Costeo!$B$36+0*Costeo!$C$36+0*Costeo!$D$36+D20*Costeo!$E$36)&gt;5000,32-Costeo!$B$61,0))*Costeo!$B$51,2))),"Fuera de alcance")</f>
        <v>29095.06108333332</v>
      </c>
    </row>
    <row r="21" ht="7.95" customHeight="1" s="61"/>
    <row r="22" ht="34.05" customHeight="1" s="61">
      <c r="A22" s="76" t="inlineStr">
        <is>
          <t>Resultado mensual = ingresos − costos variables − fijo común − incrementos de infraestructura.</t>
        </is>
      </c>
      <c r="B22" s="116" t="n"/>
      <c r="C22" s="116" t="n"/>
      <c r="D22" s="116" t="n"/>
      <c r="E22" s="116" t="n"/>
    </row>
    <row r="23" ht="40.05" customHeight="1" s="61">
      <c r="A23" s="76" t="inlineStr">
        <is>
          <t>Cubrir la operación no recupera instalaciones ni desarrollo. Estos mínimos son antes de impuestos y no garantizan demanda ni capacidad técnica.</t>
        </is>
      </c>
      <c r="B23" s="116" t="n"/>
      <c r="C23" s="116" t="n"/>
      <c r="D23" s="116" t="n"/>
      <c r="E23" s="116" t="n"/>
    </row>
    <row r="24" ht="30" customHeight="1" s="61">
      <c r="A24" s="73" t="inlineStr">
        <is>
          <t>Ver alcance, fórmulas y recuperación de la cartera mixta ↓</t>
        </is>
      </c>
      <c r="B24" s="116" t="n"/>
      <c r="C24" s="116" t="n"/>
      <c r="D24" s="116" t="n"/>
      <c r="E24" s="116" t="n"/>
    </row>
    <row r="25" ht="7.95" customHeight="1" s="61"/>
    <row r="26" ht="7.95" customHeight="1" s="61"/>
    <row r="27" ht="30" customHeight="1" s="61">
      <c r="A27" s="75" t="inlineStr">
        <is>
          <t>DETALLE · CARTERA MIXTA E INVERSIÓN DEL ESCENARIO</t>
        </is>
      </c>
      <c r="B27" s="116" t="n"/>
      <c r="C27" s="116" t="n"/>
      <c r="D27" s="116" t="n"/>
      <c r="E27" s="116" t="n"/>
    </row>
    <row r="28" ht="40.05" customHeight="1" s="61">
      <c r="A28" s="49" t="inlineStr">
        <is>
          <t>Gimnasios al inicio</t>
        </is>
      </c>
      <c r="B28" s="52">
        <f>SUM('PPTO Vtas Servicios'!C7:C10)</f>
        <v>5.0</v>
      </c>
      <c r="C28" s="76" t="inlineStr">
        <is>
          <t>Un Starter y cuatro Pro en el escenario actual.</t>
        </is>
      </c>
      <c r="D28" s="116" t="n"/>
      <c r="E28" s="116" t="n"/>
    </row>
    <row r="29" ht="40.05" customHeight="1" s="61">
      <c r="A29" s="49" t="inlineStr">
        <is>
          <t>Costo básico por alta</t>
        </is>
      </c>
      <c r="B29" s="118">
        <f>Costeo!B22</f>
        <v>16561.272333333334</v>
      </c>
      <c r="C29" s="76" t="inlineStr">
        <is>
          <t>Lo asume Pulso; no es ingreso.</t>
        </is>
      </c>
      <c r="D29" s="116" t="n"/>
      <c r="E29" s="116" t="n"/>
    </row>
    <row r="30" ht="40.05" customHeight="1" s="61">
      <c r="A30" s="49" t="inlineStr">
        <is>
          <t>Ingresos año 1</t>
        </is>
      </c>
      <c r="B30" s="118">
        <f>'PPTO Vtas Servicios'!O24</f>
        <v>2780000.0</v>
      </c>
      <c r="C30" s="76" t="inlineStr">
        <is>
          <t>Dependen de las altas y bajas proyectadas.</t>
        </is>
      </c>
      <c r="D30" s="116" t="n"/>
      <c r="E30" s="116" t="n"/>
    </row>
    <row r="31" ht="40.05" customHeight="1" s="61">
      <c r="A31" s="49" t="inlineStr">
        <is>
          <t>Resultado económico año 1</t>
        </is>
      </c>
      <c r="B31" s="118">
        <f>'PPTO Vtas Servicios'!O26</f>
        <v>596044.3572500004</v>
      </c>
      <c r="C31" s="76" t="inlineStr">
        <is>
          <t>Incluye desarrollo e instalaciones; antes de impuestos.</t>
        </is>
      </c>
      <c r="D31" s="116" t="n"/>
      <c r="E31" s="116" t="n"/>
    </row>
    <row r="32" ht="40.05" customHeight="1" s="61">
      <c r="A32" s="49" t="inlineStr">
        <is>
          <t>Mes de recuperación</t>
        </is>
      </c>
      <c r="B32" s="52">
        <f>IF(MIN(Costeo!E184:E195)=999,"No recupera en 12 meses",MIN(Costeo!E184:E195))</f>
        <v>8</v>
      </c>
      <c r="C32" s="76" t="inlineStr">
        <is>
          <t>Primer acumulado económico no negativo.</t>
        </is>
      </c>
      <c r="D32" s="116" t="n"/>
      <c r="E32" s="116" t="n"/>
    </row>
    <row r="33" ht="40.05" customHeight="1" s="61">
      <c r="A33" s="49" t="inlineStr">
        <is>
          <t>Déficit económico máximo</t>
        </is>
      </c>
      <c r="B33" s="118">
        <f>MAX(0,-MIN(Costeo!D184:D195))</f>
        <v>365631.1789375</v>
      </c>
      <c r="C33" s="76" t="inlineStr">
        <is>
          <t>Incluye tiempo propio; no equivale a efectivo necesario.</t>
        </is>
      </c>
      <c r="D33" s="116" t="n"/>
      <c r="E33" s="116" t="n"/>
    </row>
    <row r="34" ht="40.05" customHeight="1" s="61">
      <c r="A34" s="49" t="inlineStr">
        <is>
          <t>Desarrollo común, único</t>
        </is>
      </c>
      <c r="B34" s="118">
        <f>Costeo!E90</f>
        <v>198735.26799999998</v>
      </c>
      <c r="C34" s="76" t="inlineStr">
        <is>
          <t>Inversión reconocida en mes 1.</t>
        </is>
      </c>
      <c r="D34" s="116" t="n"/>
      <c r="E34" s="116" t="n"/>
    </row>
    <row r="35" ht="40.05" customHeight="1" s="61">
      <c r="A35" s="49" t="inlineStr">
        <is>
          <t>Altas básicas durante el año</t>
        </is>
      </c>
      <c r="B35" s="52">
        <f>SUM('PPTO Vtas Servicios'!C11:N11)</f>
        <v>16.0</v>
      </c>
      <c r="C35" s="76" t="inlineStr">
        <is>
          <t>No confundir altas con gimnasios activos.</t>
        </is>
      </c>
      <c r="D35" s="116" t="n"/>
      <c r="E35" s="116" t="n"/>
    </row>
    <row r="36" ht="40.05" customHeight="1" s="61">
      <c r="A36" s="49" t="inlineStr">
        <is>
          <t>Costo de altas básicas</t>
        </is>
      </c>
      <c r="B36" s="118">
        <f>'PPTO Vtas Servicios'!O33</f>
        <v>264980.35733333335</v>
      </c>
      <c r="C36" s="76" t="inlineStr">
        <is>
          <t>Cantidad de altas × costo de instalación.</t>
        </is>
      </c>
      <c r="D36" s="116" t="n"/>
      <c r="E36" s="116" t="n"/>
    </row>
    <row r="37" ht="7.95" customHeight="1" s="61"/>
    <row r="38" ht="30" customHeight="1" s="61">
      <c r="A38" s="75" t="inlineStr">
        <is>
          <t>DETALLE · COSTO TOTAL AL ALCANZAR EL MÍNIMO</t>
        </is>
      </c>
      <c r="B38" s="116" t="n"/>
      <c r="C38" s="116" t="n"/>
      <c r="D38" s="116" t="n"/>
      <c r="E38" s="116" t="n"/>
    </row>
    <row r="39" ht="45" customHeight="1" s="61">
      <c r="A39" s="49" t="inlineStr">
        <is>
          <t>Plan</t>
        </is>
      </c>
      <c r="B39" s="49" t="inlineStr">
        <is>
          <t>Ingresos mensuales</t>
        </is>
      </c>
      <c r="C39" s="49" t="inlineStr">
        <is>
          <t>Variables base totales</t>
        </is>
      </c>
      <c r="D39" s="49" t="inlineStr">
        <is>
          <t>Nube adicional</t>
        </is>
      </c>
      <c r="E39" s="49" t="inlineStr">
        <is>
          <t>Costo total con fijos</t>
        </is>
      </c>
    </row>
    <row r="40" ht="30" customHeight="1" s="61">
      <c r="A40" s="49" t="inlineStr">
        <is>
          <t>Starter</t>
        </is>
      </c>
      <c r="B40" s="118">
        <f>IF(ISNUMBER($E$9),$E$9*B9,"Fuera de alcance")</f>
        <v>135000.0</v>
      </c>
      <c r="C40" s="118">
        <f>IF(ISNUMBER($E$9),$E$9*C9,"Fuera de alcance")</f>
        <v>10946.065687500002</v>
      </c>
      <c r="D40" s="118">
        <f>IF(ISNUMBER($E$9),(ROUND((MAX(0,($E$9*Costeo!$B$117+0*Costeo!$C$117+0*Costeo!$D$117+0*Costeo!$E$117)-100)*Costeo!$B$53+MAX(0,($E$9*Costeo!$B$118+0*Costeo!$C$118+0*Costeo!$D$118+0*Costeo!$E$118)-250)*Costeo!$B$52+(MAX(0,ROUNDUP((($E$9*Costeo!$B$116+0*Costeo!$C$116)+(0*Costeo!$D$116+0*Costeo!$E$116)*0.05)*2,0)-8)+($E$9*Costeo!$B$131+0*Costeo!$C$131+0*Costeo!$D$131+0*Costeo!$E$131))*Costeo!$B$54+IF(($E$9*Costeo!$B$36+0*Costeo!$C$36)&lt;=2000,10,IF(($E$9*Costeo!$B$36+0*Costeo!$C$36)&lt;=5000,15,IF(($E$9*Costeo!$B$36+0*Costeo!$C$36)&lt;=10000,60,110)))-10)*Costeo!$B$51,2))+(ROUND((MAX(0,($E$9*Costeo!$B$130+0*Costeo!$C$130+0*Costeo!$D$130+0*Costeo!$E$130)+20*2*2*Costeo!$B$69+30*(1/3600*Costeo!$B$55+5/3600*Costeo!$B$56)-Costeo!$B$58)+IF(AND(($E$9*Costeo!$B$120+0*Costeo!$C$120+0*Costeo!$D$120+0*Costeo!$E$120)&lt;=1000000,($E$9*Costeo!$B$119+0*Costeo!$C$119+0*Costeo!$D$119+0*Costeo!$E$119)&lt;=1000),0,IF(($E$9*Costeo!$B$120+0*Costeo!$C$120+0*Costeo!$D$120+0*Costeo!$E$120)&lt;=10000000,20,IF(($E$9*Costeo!$B$120+0*Costeo!$C$120+0*Costeo!$D$120+0*Costeo!$E$120)&lt;=50000000,100,300)))+MAX(0,ROUNDUP(($E$9*Costeo!$B$36+0*Costeo!$C$36+0*Costeo!$D$36+0*Costeo!$E$36)/5000,0)-1)*Costeo!$B$62+IF(($E$9*Costeo!$B$36+0*Costeo!$C$36+0*Costeo!$D$36+0*Costeo!$E$36)&gt;5000,32-Costeo!$B$61,0))*Costeo!$B$51,2)),"Fuera de alcance")</f>
        <v>0</v>
      </c>
      <c r="E40" s="118">
        <f>IF(ISNUMBER($E$9),C40+D40+$B$4,"Fuera de alcance")</f>
        <v>125193.61035416667</v>
      </c>
    </row>
    <row r="41" ht="30" customHeight="1" s="61">
      <c r="A41" s="49" t="inlineStr">
        <is>
          <t>Pro Gym</t>
        </is>
      </c>
      <c r="B41" s="118">
        <f>IF(ISNUMBER($E$10),$E$10*B10,"Fuera de alcance")</f>
        <v>125000.0</v>
      </c>
      <c r="C41" s="118">
        <f>IF(ISNUMBER($E$10),$E$10*C10,"Fuera de alcance")</f>
        <v>7427.447604166666</v>
      </c>
      <c r="D41" s="118">
        <f>IF(ISNUMBER($E$10),(ROUND((MAX(0,(0*Costeo!$B$117+$E$10*Costeo!$C$117+0*Costeo!$D$117+0*Costeo!$E$117)-100)*Costeo!$B$53+MAX(0,(0*Costeo!$B$118+$E$10*Costeo!$C$118+0*Costeo!$D$118+0*Costeo!$E$118)-250)*Costeo!$B$52+(MAX(0,ROUNDUP(((0*Costeo!$B$116+$E$10*Costeo!$C$116)+(0*Costeo!$D$116+0*Costeo!$E$116)*0.05)*2,0)-8)+(0*Costeo!$B$131+$E$10*Costeo!$C$131+0*Costeo!$D$131+0*Costeo!$E$131))*Costeo!$B$54+IF((0*Costeo!$B$36+$E$10*Costeo!$C$36)&lt;=2000,10,IF((0*Costeo!$B$36+$E$10*Costeo!$C$36)&lt;=5000,15,IF((0*Costeo!$B$36+$E$10*Costeo!$C$36)&lt;=10000,60,110)))-10)*Costeo!$B$51,2))+(ROUND((MAX(0,(0*Costeo!$B$130+$E$10*Costeo!$C$130+0*Costeo!$D$130+0*Costeo!$E$130)+20*2*2*Costeo!$B$69+30*(1/3600*Costeo!$B$55+5/3600*Costeo!$B$56)-Costeo!$B$58)+IF(AND((0*Costeo!$B$120+$E$10*Costeo!$C$120+0*Costeo!$D$120+0*Costeo!$E$120)&lt;=1000000,(0*Costeo!$B$119+$E$10*Costeo!$C$119+0*Costeo!$D$119+0*Costeo!$E$119)&lt;=1000),0,IF((0*Costeo!$B$120+$E$10*Costeo!$C$120+0*Costeo!$D$120+0*Costeo!$E$120)&lt;=10000000,20,IF((0*Costeo!$B$120+$E$10*Costeo!$C$120+0*Costeo!$D$120+0*Costeo!$E$120)&lt;=50000000,100,300)))+MAX(0,ROUNDUP((0*Costeo!$B$36+$E$10*Costeo!$C$36+0*Costeo!$D$36+0*Costeo!$E$36)/5000,0)-1)*Costeo!$B$62+IF((0*Costeo!$B$36+$E$10*Costeo!$C$36+0*Costeo!$D$36+0*Costeo!$E$36)&gt;5000,32-Costeo!$B$61,0))*Costeo!$B$51,2)),"Fuera de alcance")</f>
        <v>0</v>
      </c>
      <c r="E41" s="118">
        <f>IF(ISNUMBER($E$10),C41+D41+$B$4,"Fuera de alcance")</f>
        <v>121674.99227083333</v>
      </c>
    </row>
    <row r="42" ht="30" customHeight="1" s="61">
      <c r="A42" s="49" t="inlineStr">
        <is>
          <t>Premium</t>
        </is>
      </c>
      <c r="B42" s="118">
        <f>IF(ISNUMBER($E$11),$E$11*B11,"Fuera de alcance")</f>
        <v>180000.0</v>
      </c>
      <c r="C42" s="118">
        <f>IF(ISNUMBER($E$11),$E$11*C11,"Fuera de alcance")</f>
        <v>52774.87616666667</v>
      </c>
      <c r="D42" s="118">
        <f>IF(ISNUMBER($E$11),(ROUND((MAX(0,(0*Costeo!$B$117+0*Costeo!$C$117+$E$11*Costeo!$D$117+0*Costeo!$E$117)-100)*Costeo!$B$53+MAX(0,(0*Costeo!$B$118+0*Costeo!$C$118+$E$11*Costeo!$D$118+0*Costeo!$E$118)-250)*Costeo!$B$52+(MAX(0,ROUNDUP(((0*Costeo!$B$116+0*Costeo!$C$116)+($E$11*Costeo!$D$116+0*Costeo!$E$116)*0.05)*2,0)-8)+(0*Costeo!$B$131+0*Costeo!$C$131+$E$11*Costeo!$D$131+0*Costeo!$E$131))*Costeo!$B$54+IF((0*Costeo!$B$36+0*Costeo!$C$36)&lt;=2000,10,IF((0*Costeo!$B$36+0*Costeo!$C$36)&lt;=5000,15,IF((0*Costeo!$B$36+0*Costeo!$C$36)&lt;=10000,60,110)))-10)*Costeo!$B$51,2))+(ROUND((MAX(0,(0*Costeo!$B$130+0*Costeo!$C$130+$E$11*Costeo!$D$130+0*Costeo!$E$130)+20*2*2*Costeo!$B$69+30*(1/3600*Costeo!$B$55+5/3600*Costeo!$B$56)-Costeo!$B$58)+IF(AND((0*Costeo!$B$120+0*Costeo!$C$120+$E$11*Costeo!$D$120+0*Costeo!$E$120)&lt;=1000000,(0*Costeo!$B$119+0*Costeo!$C$119+$E$11*Costeo!$D$119+0*Costeo!$E$119)&lt;=1000),0,IF((0*Costeo!$B$120+0*Costeo!$C$120+$E$11*Costeo!$D$120+0*Costeo!$E$120)&lt;=10000000,20,IF((0*Costeo!$B$120+0*Costeo!$C$120+$E$11*Costeo!$D$120+0*Costeo!$E$120)&lt;=50000000,100,300)))+MAX(0,ROUNDUP((0*Costeo!$B$36+0*Costeo!$C$36+$E$11*Costeo!$D$36+0*Costeo!$E$36)/5000,0)-1)*Costeo!$B$62+IF((0*Costeo!$B$36+0*Costeo!$C$36+$E$11*Costeo!$D$36+0*Costeo!$E$36)&gt;5000,32-Costeo!$B$61,0))*Costeo!$B$51,2)),"Fuera de alcance")</f>
        <v>10000.0</v>
      </c>
      <c r="E42" s="118">
        <f>IF(ISNUMBER($E$11),C42+D42+$B$4,"Fuera de alcance")</f>
        <v>177022.42083333334</v>
      </c>
    </row>
    <row r="43" ht="30" customHeight="1" s="61">
      <c r="A43" s="49" t="inlineStr">
        <is>
          <t>Enterprise</t>
        </is>
      </c>
      <c r="B43" s="118">
        <f>IF(ISNUMBER($E$12),$E$12*B12,"Fuera de alcance")</f>
        <v>210000.0</v>
      </c>
      <c r="C43" s="118">
        <f>IF(ISNUMBER($E$12),$E$12*C12,"Fuera de alcance")</f>
        <v>56657.394250000005</v>
      </c>
      <c r="D43" s="118">
        <f>IF(ISNUMBER($E$12),(ROUND((MAX(0,(0*Costeo!$B$117+0*Costeo!$C$117+0*Costeo!$D$117+$E$12*Costeo!$E$117)-100)*Costeo!$B$53+MAX(0,(0*Costeo!$B$118+0*Costeo!$C$118+0*Costeo!$D$118+$E$12*Costeo!$E$118)-250)*Costeo!$B$52+(MAX(0,ROUNDUP(((0*Costeo!$B$116+0*Costeo!$C$116)+(0*Costeo!$D$116+$E$12*Costeo!$E$116)*0.05)*2,0)-8)+(0*Costeo!$B$131+0*Costeo!$C$131+0*Costeo!$D$131+$E$12*Costeo!$E$131))*Costeo!$B$54+IF((0*Costeo!$B$36+0*Costeo!$C$36)&lt;=2000,10,IF((0*Costeo!$B$36+0*Costeo!$C$36)&lt;=5000,15,IF((0*Costeo!$B$36+0*Costeo!$C$36)&lt;=10000,60,110)))-10)*Costeo!$B$51,2))+(ROUND((MAX(0,(0*Costeo!$B$130+0*Costeo!$C$130+0*Costeo!$D$130+$E$12*Costeo!$E$130)+20*2*2*Costeo!$B$69+30*(1/3600*Costeo!$B$55+5/3600*Costeo!$B$56)-Costeo!$B$58)+IF(AND((0*Costeo!$B$120+0*Costeo!$C$120+0*Costeo!$D$120+$E$12*Costeo!$E$120)&lt;=1000000,(0*Costeo!$B$119+0*Costeo!$C$119+0*Costeo!$D$119+$E$12*Costeo!$E$119)&lt;=1000),0,IF((0*Costeo!$B$120+0*Costeo!$C$120+0*Costeo!$D$120+$E$12*Costeo!$E$120)&lt;=10000000,20,IF((0*Costeo!$B$120+0*Costeo!$C$120+0*Costeo!$D$120+$E$12*Costeo!$E$120)&lt;=50000000,100,300)))+MAX(0,ROUNDUP((0*Costeo!$B$36+0*Costeo!$C$36+0*Costeo!$D$36+$E$12*Costeo!$E$36)/5000,0)-1)*Costeo!$B$62+IF((0*Costeo!$B$36+0*Costeo!$C$36+0*Costeo!$D$36+$E$12*Costeo!$E$36)&gt;5000,32-Costeo!$B$61,0))*Costeo!$B$51,2)),"Fuera de alcance")</f>
        <v>10000.0</v>
      </c>
      <c r="E43" s="118">
        <f>IF(ISNUMBER($E$12),C43+D43+$B$4,"Fuera de alcance")</f>
        <v>180904.93891666667</v>
      </c>
    </row>
    <row r="44" ht="7.95" customHeight="1" s="61"/>
    <row r="45" ht="48" customHeight="1" s="61">
      <c r="A45" s="76" t="inlineStr">
        <is>
          <t>Método: se prueba cada cantidad desde 1 gimnasio hasta 10 000 miembros agregados; el primer resultado no negativo es el mínimo. No se reparte el fijo como si fuera variable.</t>
        </is>
      </c>
      <c r="B45" s="116" t="n"/>
      <c r="C45" s="116" t="n"/>
      <c r="D45" s="116" t="n"/>
      <c r="E45" s="116" t="n"/>
    </row>
    <row r="46" ht="37.95" customHeight="1" s="61">
      <c r="A46" s="76" t="inlineStr">
        <is>
          <t>Fuentes y supuestos: Costeo contiene tarifas oficiales y decisiones de dimensionamiento. Abrir el vínculo para revisar su alcance.</t>
        </is>
      </c>
      <c r="B46" s="116" t="n"/>
      <c r="C46" s="116" t="n"/>
      <c r="D46" s="116" t="n"/>
      <c r="E46" s="116" t="n"/>
    </row>
    <row r="47" ht="7.95" customHeight="1" s="61"/>
    <row r="48" ht="7.95" customHeight="1" s="61"/>
    <row r="49" ht="7.95" customHeight="1" s="61"/>
    <row r="50" collapsed="1" ht="30" customHeight="1" s="61">
      <c r="A50" s="75" t="inlineStr">
        <is>
          <t>CÁLCULO DE LOS MÍNIMOS | desplegar con +</t>
        </is>
      </c>
      <c r="B50" s="116" t="n"/>
      <c r="C50" s="116" t="n"/>
      <c r="D50" s="116" t="n"/>
      <c r="E50" s="116" t="n"/>
    </row>
    <row r="51" hidden="1" outlineLevel="1" ht="30" customHeight="1" s="61">
      <c r="A51" s="49" t="inlineStr">
        <is>
          <t>Gimnasios probados</t>
        </is>
      </c>
      <c r="B51" s="49" t="inlineStr">
        <is>
          <t>Starter</t>
        </is>
      </c>
      <c r="C51" s="49" t="inlineStr">
        <is>
          <t>Pro Gym</t>
        </is>
      </c>
      <c r="D51" s="49" t="inlineStr">
        <is>
          <t>Premium</t>
        </is>
      </c>
      <c r="E51" s="49" t="inlineStr">
        <is>
          <t>Enterprise</t>
        </is>
      </c>
    </row>
    <row r="52" hidden="1" outlineLevel="1" ht="30" customHeight="1" s="61">
      <c r="A52" s="52" t="n">
        <v>1</v>
      </c>
      <c r="B52" s="121">
        <f>IF(AND($A52*Costeo!$B$36&lt;=10000,(($A52)*$D$9-$B$4-((ROUND((MAX(0,($A52*Costeo!$B$117+0*Costeo!$C$117+0*Costeo!$D$117+0*Costeo!$E$117)-100)*Costeo!$B$53+MAX(0,($A52*Costeo!$B$118+0*Costeo!$C$118+0*Costeo!$D$118+0*Costeo!$E$118)-250)*Costeo!$B$52+(MAX(0,ROUNDUP((($A52*Costeo!$B$116+0*Costeo!$C$116)+(0*Costeo!$D$116+0*Costeo!$E$116)*0.05)*2,0)-8)+($A52*Costeo!$B$131+0*Costeo!$C$131+0*Costeo!$D$131+0*Costeo!$E$131))*Costeo!$B$54+IF(($A52*Costeo!$B$36+0*Costeo!$C$36)&lt;=2000,10,IF(($A52*Costeo!$B$36+0*Costeo!$C$36)&lt;=5000,15,IF(($A52*Costeo!$B$36+0*Costeo!$C$36)&lt;=10000,60,110)))-10)*Costeo!$B$51,2))+(ROUND((MAX(0,($A52*Costeo!$B$130+0*Costeo!$C$130+0*Costeo!$D$130+0*Costeo!$E$130)+20*2*2*Costeo!$B$69+30*(1/3600*Costeo!$B$55+5/3600*Costeo!$B$56)-Costeo!$B$58)+IF(AND(($A52*Costeo!$B$120+0*Costeo!$C$120+0*Costeo!$D$120+0*Costeo!$E$120)&lt;=1000000,($A52*Costeo!$B$119+0*Costeo!$C$119+0*Costeo!$D$119+0*Costeo!$E$119)&lt;=1000),0,IF(($A52*Costeo!$B$120+0*Costeo!$C$120+0*Costeo!$D$120+0*Costeo!$E$120)&lt;=10000000,20,IF(($A52*Costeo!$B$120+0*Costeo!$C$120+0*Costeo!$D$120+0*Costeo!$E$120)&lt;=50000000,100,300)))+MAX(0,ROUNDUP(($A52*Costeo!$B$36+0*Costeo!$C$36+0*Costeo!$D$36+0*Costeo!$E$36)/5000,0)-1)*Costeo!$B$62+IF(($A52*Costeo!$B$36+0*Costeo!$C$36+0*Costeo!$D$36+0*Costeo!$E$36)&gt;5000,32-Costeo!$B$61,0))*Costeo!$B$51,2))))&gt;=0),$A52,1000000000)</f>
        <v>1000000000</v>
      </c>
      <c r="C52" s="121">
        <f>IF(AND($A52*Costeo!$C$36&lt;=10000,(($A52)*$D$10-$B$4-((ROUND((MAX(0,(0*Costeo!$B$117+$A52*Costeo!$C$117+0*Costeo!$D$117+0*Costeo!$E$117)-100)*Costeo!$B$53+MAX(0,(0*Costeo!$B$118+$A52*Costeo!$C$118+0*Costeo!$D$118+0*Costeo!$E$118)-250)*Costeo!$B$52+(MAX(0,ROUNDUP(((0*Costeo!$B$116+$A52*Costeo!$C$116)+(0*Costeo!$D$116+0*Costeo!$E$116)*0.05)*2,0)-8)+(0*Costeo!$B$131+$A52*Costeo!$C$131+0*Costeo!$D$131+0*Costeo!$E$131))*Costeo!$B$54+IF((0*Costeo!$B$36+$A52*Costeo!$C$36)&lt;=2000,10,IF((0*Costeo!$B$36+$A52*Costeo!$C$36)&lt;=5000,15,IF((0*Costeo!$B$36+$A52*Costeo!$C$36)&lt;=10000,60,110)))-10)*Costeo!$B$51,2))+(ROUND((MAX(0,(0*Costeo!$B$130+$A52*Costeo!$C$130+0*Costeo!$D$130+0*Costeo!$E$130)+20*2*2*Costeo!$B$69+30*(1/3600*Costeo!$B$55+5/3600*Costeo!$B$56)-Costeo!$B$58)+IF(AND((0*Costeo!$B$120+$A52*Costeo!$C$120+0*Costeo!$D$120+0*Costeo!$E$120)&lt;=1000000,(0*Costeo!$B$119+$A52*Costeo!$C$119+0*Costeo!$D$119+0*Costeo!$E$119)&lt;=1000),0,IF((0*Costeo!$B$120+$A52*Costeo!$C$120+0*Costeo!$D$120+0*Costeo!$E$120)&lt;=10000000,20,IF((0*Costeo!$B$120+$A52*Costeo!$C$120+0*Costeo!$D$120+0*Costeo!$E$120)&lt;=50000000,100,300)))+MAX(0,ROUNDUP((0*Costeo!$B$36+$A52*Costeo!$C$36+0*Costeo!$D$36+0*Costeo!$E$36)/5000,0)-1)*Costeo!$B$62+IF((0*Costeo!$B$36+$A52*Costeo!$C$36+0*Costeo!$D$36+0*Costeo!$E$36)&gt;5000,32-Costeo!$B$61,0))*Costeo!$B$51,2))))&gt;=0),$A52,1000000000)</f>
        <v>1000000000</v>
      </c>
      <c r="D52" s="121">
        <f>IF(AND($A52*Costeo!$D$36&lt;=10000,(($A52)*$D$11-$B$4-((ROUND((MAX(0,(0*Costeo!$B$117+0*Costeo!$C$117+$A52*Costeo!$D$117+0*Costeo!$E$117)-100)*Costeo!$B$53+MAX(0,(0*Costeo!$B$118+0*Costeo!$C$118+$A52*Costeo!$D$118+0*Costeo!$E$118)-250)*Costeo!$B$52+(MAX(0,ROUNDUP(((0*Costeo!$B$116+0*Costeo!$C$116)+($A52*Costeo!$D$116+0*Costeo!$E$116)*0.05)*2,0)-8)+(0*Costeo!$B$131+0*Costeo!$C$131+$A52*Costeo!$D$131+0*Costeo!$E$131))*Costeo!$B$54+IF((0*Costeo!$B$36+0*Costeo!$C$36)&lt;=2000,10,IF((0*Costeo!$B$36+0*Costeo!$C$36)&lt;=5000,15,IF((0*Costeo!$B$36+0*Costeo!$C$36)&lt;=10000,60,110)))-10)*Costeo!$B$51,2))+(ROUND((MAX(0,(0*Costeo!$B$130+0*Costeo!$C$130+$A52*Costeo!$D$130+0*Costeo!$E$130)+20*2*2*Costeo!$B$69+30*(1/3600*Costeo!$B$55+5/3600*Costeo!$B$56)-Costeo!$B$58)+IF(AND((0*Costeo!$B$120+0*Costeo!$C$120+$A52*Costeo!$D$120+0*Costeo!$E$120)&lt;=1000000,(0*Costeo!$B$119+0*Costeo!$C$119+$A52*Costeo!$D$119+0*Costeo!$E$119)&lt;=1000),0,IF((0*Costeo!$B$120+0*Costeo!$C$120+$A52*Costeo!$D$120+0*Costeo!$E$120)&lt;=10000000,20,IF((0*Costeo!$B$120+0*Costeo!$C$120+$A52*Costeo!$D$120+0*Costeo!$E$120)&lt;=50000000,100,300)))+MAX(0,ROUNDUP((0*Costeo!$B$36+0*Costeo!$C$36+$A52*Costeo!$D$36+0*Costeo!$E$36)/5000,0)-1)*Costeo!$B$62+IF((0*Costeo!$B$36+0*Costeo!$C$36+$A52*Costeo!$D$36+0*Costeo!$E$36)&gt;5000,32-Costeo!$B$61,0))*Costeo!$B$51,2))))&gt;=0),$A52,1000000000)</f>
        <v>1000000000</v>
      </c>
      <c r="E52" s="121">
        <f>IF(AND($A52*Costeo!$E$36&lt;=10000,(($A52)*$D$12-$B$4-((ROUND((MAX(0,(0*Costeo!$B$117+0*Costeo!$C$117+0*Costeo!$D$117+$A52*Costeo!$E$117)-100)*Costeo!$B$53+MAX(0,(0*Costeo!$B$118+0*Costeo!$C$118+0*Costeo!$D$118+$A52*Costeo!$E$118)-250)*Costeo!$B$52+(MAX(0,ROUNDUP(((0*Costeo!$B$116+0*Costeo!$C$116)+(0*Costeo!$D$116+$A52*Costeo!$E$116)*0.05)*2,0)-8)+(0*Costeo!$B$131+0*Costeo!$C$131+0*Costeo!$D$131+$A52*Costeo!$E$131))*Costeo!$B$54+IF((0*Costeo!$B$36+0*Costeo!$C$36)&lt;=2000,10,IF((0*Costeo!$B$36+0*Costeo!$C$36)&lt;=5000,15,IF((0*Costeo!$B$36+0*Costeo!$C$36)&lt;=10000,60,110)))-10)*Costeo!$B$51,2))+(ROUND((MAX(0,(0*Costeo!$B$130+0*Costeo!$C$130+0*Costeo!$D$130+$A52*Costeo!$E$130)+20*2*2*Costeo!$B$69+30*(1/3600*Costeo!$B$55+5/3600*Costeo!$B$56)-Costeo!$B$58)+IF(AND((0*Costeo!$B$120+0*Costeo!$C$120+0*Costeo!$D$120+$A52*Costeo!$E$120)&lt;=1000000,(0*Costeo!$B$119+0*Costeo!$C$119+0*Costeo!$D$119+$A52*Costeo!$E$119)&lt;=1000),0,IF((0*Costeo!$B$120+0*Costeo!$C$120+0*Costeo!$D$120+$A52*Costeo!$E$120)&lt;=10000000,20,IF((0*Costeo!$B$120+0*Costeo!$C$120+0*Costeo!$D$120+$A52*Costeo!$E$120)&lt;=50000000,100,300)))+MAX(0,ROUNDUP((0*Costeo!$B$36+0*Costeo!$C$36+0*Costeo!$D$36+$A52*Costeo!$E$36)/5000,0)-1)*Costeo!$B$62+IF((0*Costeo!$B$36+0*Costeo!$C$36+0*Costeo!$D$36+$A52*Costeo!$E$36)&gt;5000,32-Costeo!$B$61,0))*Costeo!$B$51,2))))&gt;=0),$A52,1000000000)</f>
        <v>1000000000</v>
      </c>
    </row>
    <row r="53" hidden="1" outlineLevel="1" ht="30" customHeight="1" s="61">
      <c r="A53" s="52" t="n">
        <v>2</v>
      </c>
      <c r="B53" s="121">
        <f>IF(AND($A53*Costeo!$B$36&lt;=10000,(($A53)*$D$9-$B$4-((ROUND((MAX(0,($A53*Costeo!$B$117+0*Costeo!$C$117+0*Costeo!$D$117+0*Costeo!$E$117)-100)*Costeo!$B$53+MAX(0,($A53*Costeo!$B$118+0*Costeo!$C$118+0*Costeo!$D$118+0*Costeo!$E$118)-250)*Costeo!$B$52+(MAX(0,ROUNDUP((($A53*Costeo!$B$116+0*Costeo!$C$116)+(0*Costeo!$D$116+0*Costeo!$E$116)*0.05)*2,0)-8)+($A53*Costeo!$B$131+0*Costeo!$C$131+0*Costeo!$D$131+0*Costeo!$E$131))*Costeo!$B$54+IF(($A53*Costeo!$B$36+0*Costeo!$C$36)&lt;=2000,10,IF(($A53*Costeo!$B$36+0*Costeo!$C$36)&lt;=5000,15,IF(($A53*Costeo!$B$36+0*Costeo!$C$36)&lt;=10000,60,110)))-10)*Costeo!$B$51,2))+(ROUND((MAX(0,($A53*Costeo!$B$130+0*Costeo!$C$130+0*Costeo!$D$130+0*Costeo!$E$130)+20*2*2*Costeo!$B$69+30*(1/3600*Costeo!$B$55+5/3600*Costeo!$B$56)-Costeo!$B$58)+IF(AND(($A53*Costeo!$B$120+0*Costeo!$C$120+0*Costeo!$D$120+0*Costeo!$E$120)&lt;=1000000,($A53*Costeo!$B$119+0*Costeo!$C$119+0*Costeo!$D$119+0*Costeo!$E$119)&lt;=1000),0,IF(($A53*Costeo!$B$120+0*Costeo!$C$120+0*Costeo!$D$120+0*Costeo!$E$120)&lt;=10000000,20,IF(($A53*Costeo!$B$120+0*Costeo!$C$120+0*Costeo!$D$120+0*Costeo!$E$120)&lt;=50000000,100,300)))+MAX(0,ROUNDUP(($A53*Costeo!$B$36+0*Costeo!$C$36+0*Costeo!$D$36+0*Costeo!$E$36)/5000,0)-1)*Costeo!$B$62+IF(($A53*Costeo!$B$36+0*Costeo!$C$36+0*Costeo!$D$36+0*Costeo!$E$36)&gt;5000,32-Costeo!$B$61,0))*Costeo!$B$51,2))))&gt;=0),$A53,1000000000)</f>
        <v>1000000000</v>
      </c>
      <c r="C53" s="121">
        <f>IF(AND($A53*Costeo!$C$36&lt;=10000,(($A53)*$D$10-$B$4-((ROUND((MAX(0,(0*Costeo!$B$117+$A53*Costeo!$C$117+0*Costeo!$D$117+0*Costeo!$E$117)-100)*Costeo!$B$53+MAX(0,(0*Costeo!$B$118+$A53*Costeo!$C$118+0*Costeo!$D$118+0*Costeo!$E$118)-250)*Costeo!$B$52+(MAX(0,ROUNDUP(((0*Costeo!$B$116+$A53*Costeo!$C$116)+(0*Costeo!$D$116+0*Costeo!$E$116)*0.05)*2,0)-8)+(0*Costeo!$B$131+$A53*Costeo!$C$131+0*Costeo!$D$131+0*Costeo!$E$131))*Costeo!$B$54+IF((0*Costeo!$B$36+$A53*Costeo!$C$36)&lt;=2000,10,IF((0*Costeo!$B$36+$A53*Costeo!$C$36)&lt;=5000,15,IF((0*Costeo!$B$36+$A53*Costeo!$C$36)&lt;=10000,60,110)))-10)*Costeo!$B$51,2))+(ROUND((MAX(0,(0*Costeo!$B$130+$A53*Costeo!$C$130+0*Costeo!$D$130+0*Costeo!$E$130)+20*2*2*Costeo!$B$69+30*(1/3600*Costeo!$B$55+5/3600*Costeo!$B$56)-Costeo!$B$58)+IF(AND((0*Costeo!$B$120+$A53*Costeo!$C$120+0*Costeo!$D$120+0*Costeo!$E$120)&lt;=1000000,(0*Costeo!$B$119+$A53*Costeo!$C$119+0*Costeo!$D$119+0*Costeo!$E$119)&lt;=1000),0,IF((0*Costeo!$B$120+$A53*Costeo!$C$120+0*Costeo!$D$120+0*Costeo!$E$120)&lt;=10000000,20,IF((0*Costeo!$B$120+$A53*Costeo!$C$120+0*Costeo!$D$120+0*Costeo!$E$120)&lt;=50000000,100,300)))+MAX(0,ROUNDUP((0*Costeo!$B$36+$A53*Costeo!$C$36+0*Costeo!$D$36+0*Costeo!$E$36)/5000,0)-1)*Costeo!$B$62+IF((0*Costeo!$B$36+$A53*Costeo!$C$36+0*Costeo!$D$36+0*Costeo!$E$36)&gt;5000,32-Costeo!$B$61,0))*Costeo!$B$51,2))))&gt;=0),$A53,1000000000)</f>
        <v>1000000000</v>
      </c>
      <c r="D53" s="121">
        <f>IF(AND($A53*Costeo!$D$36&lt;=10000,(($A53)*$D$11-$B$4-((ROUND((MAX(0,(0*Costeo!$B$117+0*Costeo!$C$117+$A53*Costeo!$D$117+0*Costeo!$E$117)-100)*Costeo!$B$53+MAX(0,(0*Costeo!$B$118+0*Costeo!$C$118+$A53*Costeo!$D$118+0*Costeo!$E$118)-250)*Costeo!$B$52+(MAX(0,ROUNDUP(((0*Costeo!$B$116+0*Costeo!$C$116)+($A53*Costeo!$D$116+0*Costeo!$E$116)*0.05)*2,0)-8)+(0*Costeo!$B$131+0*Costeo!$C$131+$A53*Costeo!$D$131+0*Costeo!$E$131))*Costeo!$B$54+IF((0*Costeo!$B$36+0*Costeo!$C$36)&lt;=2000,10,IF((0*Costeo!$B$36+0*Costeo!$C$36)&lt;=5000,15,IF((0*Costeo!$B$36+0*Costeo!$C$36)&lt;=10000,60,110)))-10)*Costeo!$B$51,2))+(ROUND((MAX(0,(0*Costeo!$B$130+0*Costeo!$C$130+$A53*Costeo!$D$130+0*Costeo!$E$130)+20*2*2*Costeo!$B$69+30*(1/3600*Costeo!$B$55+5/3600*Costeo!$B$56)-Costeo!$B$58)+IF(AND((0*Costeo!$B$120+0*Costeo!$C$120+$A53*Costeo!$D$120+0*Costeo!$E$120)&lt;=1000000,(0*Costeo!$B$119+0*Costeo!$C$119+$A53*Costeo!$D$119+0*Costeo!$E$119)&lt;=1000),0,IF((0*Costeo!$B$120+0*Costeo!$C$120+$A53*Costeo!$D$120+0*Costeo!$E$120)&lt;=10000000,20,IF((0*Costeo!$B$120+0*Costeo!$C$120+$A53*Costeo!$D$120+0*Costeo!$E$120)&lt;=50000000,100,300)))+MAX(0,ROUNDUP((0*Costeo!$B$36+0*Costeo!$C$36+$A53*Costeo!$D$36+0*Costeo!$E$36)/5000,0)-1)*Costeo!$B$62+IF((0*Costeo!$B$36+0*Costeo!$C$36+$A53*Costeo!$D$36+0*Costeo!$E$36)&gt;5000,32-Costeo!$B$61,0))*Costeo!$B$51,2))))&gt;=0),$A53,1000000000)</f>
        <v>1000000000</v>
      </c>
      <c r="E53" s="121">
        <f>IF(AND($A53*Costeo!$E$36&lt;=10000,(($A53)*$D$12-$B$4-((ROUND((MAX(0,(0*Costeo!$B$117+0*Costeo!$C$117+0*Costeo!$D$117+$A53*Costeo!$E$117)-100)*Costeo!$B$53+MAX(0,(0*Costeo!$B$118+0*Costeo!$C$118+0*Costeo!$D$118+$A53*Costeo!$E$118)-250)*Costeo!$B$52+(MAX(0,ROUNDUP(((0*Costeo!$B$116+0*Costeo!$C$116)+(0*Costeo!$D$116+$A53*Costeo!$E$116)*0.05)*2,0)-8)+(0*Costeo!$B$131+0*Costeo!$C$131+0*Costeo!$D$131+$A53*Costeo!$E$131))*Costeo!$B$54+IF((0*Costeo!$B$36+0*Costeo!$C$36)&lt;=2000,10,IF((0*Costeo!$B$36+0*Costeo!$C$36)&lt;=5000,15,IF((0*Costeo!$B$36+0*Costeo!$C$36)&lt;=10000,60,110)))-10)*Costeo!$B$51,2))+(ROUND((MAX(0,(0*Costeo!$B$130+0*Costeo!$C$130+0*Costeo!$D$130+$A53*Costeo!$E$130)+20*2*2*Costeo!$B$69+30*(1/3600*Costeo!$B$55+5/3600*Costeo!$B$56)-Costeo!$B$58)+IF(AND((0*Costeo!$B$120+0*Costeo!$C$120+0*Costeo!$D$120+$A53*Costeo!$E$120)&lt;=1000000,(0*Costeo!$B$119+0*Costeo!$C$119+0*Costeo!$D$119+$A53*Costeo!$E$119)&lt;=1000),0,IF((0*Costeo!$B$120+0*Costeo!$C$120+0*Costeo!$D$120+$A53*Costeo!$E$120)&lt;=10000000,20,IF((0*Costeo!$B$120+0*Costeo!$C$120+0*Costeo!$D$120+$A53*Costeo!$E$120)&lt;=50000000,100,300)))+MAX(0,ROUNDUP((0*Costeo!$B$36+0*Costeo!$C$36+0*Costeo!$D$36+$A53*Costeo!$E$36)/5000,0)-1)*Costeo!$B$62+IF((0*Costeo!$B$36+0*Costeo!$C$36+0*Costeo!$D$36+$A53*Costeo!$E$36)&gt;5000,32-Costeo!$B$61,0))*Costeo!$B$51,2))))&gt;=0),$A53,1000000000)</f>
        <v>1000000000</v>
      </c>
    </row>
    <row r="54" hidden="1" outlineLevel="1" ht="30" customHeight="1" s="61">
      <c r="A54" s="52" t="n">
        <v>3</v>
      </c>
      <c r="B54" s="121">
        <f>IF(AND($A54*Costeo!$B$36&lt;=10000,(($A54)*$D$9-$B$4-((ROUND((MAX(0,($A54*Costeo!$B$117+0*Costeo!$C$117+0*Costeo!$D$117+0*Costeo!$E$117)-100)*Costeo!$B$53+MAX(0,($A54*Costeo!$B$118+0*Costeo!$C$118+0*Costeo!$D$118+0*Costeo!$E$118)-250)*Costeo!$B$52+(MAX(0,ROUNDUP((($A54*Costeo!$B$116+0*Costeo!$C$116)+(0*Costeo!$D$116+0*Costeo!$E$116)*0.05)*2,0)-8)+($A54*Costeo!$B$131+0*Costeo!$C$131+0*Costeo!$D$131+0*Costeo!$E$131))*Costeo!$B$54+IF(($A54*Costeo!$B$36+0*Costeo!$C$36)&lt;=2000,10,IF(($A54*Costeo!$B$36+0*Costeo!$C$36)&lt;=5000,15,IF(($A54*Costeo!$B$36+0*Costeo!$C$36)&lt;=10000,60,110)))-10)*Costeo!$B$51,2))+(ROUND((MAX(0,($A54*Costeo!$B$130+0*Costeo!$C$130+0*Costeo!$D$130+0*Costeo!$E$130)+20*2*2*Costeo!$B$69+30*(1/3600*Costeo!$B$55+5/3600*Costeo!$B$56)-Costeo!$B$58)+IF(AND(($A54*Costeo!$B$120+0*Costeo!$C$120+0*Costeo!$D$120+0*Costeo!$E$120)&lt;=1000000,($A54*Costeo!$B$119+0*Costeo!$C$119+0*Costeo!$D$119+0*Costeo!$E$119)&lt;=1000),0,IF(($A54*Costeo!$B$120+0*Costeo!$C$120+0*Costeo!$D$120+0*Costeo!$E$120)&lt;=10000000,20,IF(($A54*Costeo!$B$120+0*Costeo!$C$120+0*Costeo!$D$120+0*Costeo!$E$120)&lt;=50000000,100,300)))+MAX(0,ROUNDUP(($A54*Costeo!$B$36+0*Costeo!$C$36+0*Costeo!$D$36+0*Costeo!$E$36)/5000,0)-1)*Costeo!$B$62+IF(($A54*Costeo!$B$36+0*Costeo!$C$36+0*Costeo!$D$36+0*Costeo!$E$36)&gt;5000,32-Costeo!$B$61,0))*Costeo!$B$51,2))))&gt;=0),$A54,1000000000)</f>
        <v>1000000000</v>
      </c>
      <c r="C54" s="121">
        <f>IF(AND($A54*Costeo!$C$36&lt;=10000,(($A54)*$D$10-$B$4-((ROUND((MAX(0,(0*Costeo!$B$117+$A54*Costeo!$C$117+0*Costeo!$D$117+0*Costeo!$E$117)-100)*Costeo!$B$53+MAX(0,(0*Costeo!$B$118+$A54*Costeo!$C$118+0*Costeo!$D$118+0*Costeo!$E$118)-250)*Costeo!$B$52+(MAX(0,ROUNDUP(((0*Costeo!$B$116+$A54*Costeo!$C$116)+(0*Costeo!$D$116+0*Costeo!$E$116)*0.05)*2,0)-8)+(0*Costeo!$B$131+$A54*Costeo!$C$131+0*Costeo!$D$131+0*Costeo!$E$131))*Costeo!$B$54+IF((0*Costeo!$B$36+$A54*Costeo!$C$36)&lt;=2000,10,IF((0*Costeo!$B$36+$A54*Costeo!$C$36)&lt;=5000,15,IF((0*Costeo!$B$36+$A54*Costeo!$C$36)&lt;=10000,60,110)))-10)*Costeo!$B$51,2))+(ROUND((MAX(0,(0*Costeo!$B$130+$A54*Costeo!$C$130+0*Costeo!$D$130+0*Costeo!$E$130)+20*2*2*Costeo!$B$69+30*(1/3600*Costeo!$B$55+5/3600*Costeo!$B$56)-Costeo!$B$58)+IF(AND((0*Costeo!$B$120+$A54*Costeo!$C$120+0*Costeo!$D$120+0*Costeo!$E$120)&lt;=1000000,(0*Costeo!$B$119+$A54*Costeo!$C$119+0*Costeo!$D$119+0*Costeo!$E$119)&lt;=1000),0,IF((0*Costeo!$B$120+$A54*Costeo!$C$120+0*Costeo!$D$120+0*Costeo!$E$120)&lt;=10000000,20,IF((0*Costeo!$B$120+$A54*Costeo!$C$120+0*Costeo!$D$120+0*Costeo!$E$120)&lt;=50000000,100,300)))+MAX(0,ROUNDUP((0*Costeo!$B$36+$A54*Costeo!$C$36+0*Costeo!$D$36+0*Costeo!$E$36)/5000,0)-1)*Costeo!$B$62+IF((0*Costeo!$B$36+$A54*Costeo!$C$36+0*Costeo!$D$36+0*Costeo!$E$36)&gt;5000,32-Costeo!$B$61,0))*Costeo!$B$51,2))))&gt;=0),$A54,1000000000)</f>
        <v>1000000000</v>
      </c>
      <c r="D54" s="121">
        <f>IF(AND($A54*Costeo!$D$36&lt;=10000,(($A54)*$D$11-$B$4-((ROUND((MAX(0,(0*Costeo!$B$117+0*Costeo!$C$117+$A54*Costeo!$D$117+0*Costeo!$E$117)-100)*Costeo!$B$53+MAX(0,(0*Costeo!$B$118+0*Costeo!$C$118+$A54*Costeo!$D$118+0*Costeo!$E$118)-250)*Costeo!$B$52+(MAX(0,ROUNDUP(((0*Costeo!$B$116+0*Costeo!$C$116)+($A54*Costeo!$D$116+0*Costeo!$E$116)*0.05)*2,0)-8)+(0*Costeo!$B$131+0*Costeo!$C$131+$A54*Costeo!$D$131+0*Costeo!$E$131))*Costeo!$B$54+IF((0*Costeo!$B$36+0*Costeo!$C$36)&lt;=2000,10,IF((0*Costeo!$B$36+0*Costeo!$C$36)&lt;=5000,15,IF((0*Costeo!$B$36+0*Costeo!$C$36)&lt;=10000,60,110)))-10)*Costeo!$B$51,2))+(ROUND((MAX(0,(0*Costeo!$B$130+0*Costeo!$C$130+$A54*Costeo!$D$130+0*Costeo!$E$130)+20*2*2*Costeo!$B$69+30*(1/3600*Costeo!$B$55+5/3600*Costeo!$B$56)-Costeo!$B$58)+IF(AND((0*Costeo!$B$120+0*Costeo!$C$120+$A54*Costeo!$D$120+0*Costeo!$E$120)&lt;=1000000,(0*Costeo!$B$119+0*Costeo!$C$119+$A54*Costeo!$D$119+0*Costeo!$E$119)&lt;=1000),0,IF((0*Costeo!$B$120+0*Costeo!$C$120+$A54*Costeo!$D$120+0*Costeo!$E$120)&lt;=10000000,20,IF((0*Costeo!$B$120+0*Costeo!$C$120+$A54*Costeo!$D$120+0*Costeo!$E$120)&lt;=50000000,100,300)))+MAX(0,ROUNDUP((0*Costeo!$B$36+0*Costeo!$C$36+$A54*Costeo!$D$36+0*Costeo!$E$36)/5000,0)-1)*Costeo!$B$62+IF((0*Costeo!$B$36+0*Costeo!$C$36+$A54*Costeo!$D$36+0*Costeo!$E$36)&gt;5000,32-Costeo!$B$61,0))*Costeo!$B$51,2))))&gt;=0),$A54,1000000000)</f>
        <v>1000000000</v>
      </c>
      <c r="E54" s="121">
        <f>IF(AND($A54*Costeo!$E$36&lt;=10000,(($A54)*$D$12-$B$4-((ROUND((MAX(0,(0*Costeo!$B$117+0*Costeo!$C$117+0*Costeo!$D$117+$A54*Costeo!$E$117)-100)*Costeo!$B$53+MAX(0,(0*Costeo!$B$118+0*Costeo!$C$118+0*Costeo!$D$118+$A54*Costeo!$E$118)-250)*Costeo!$B$52+(MAX(0,ROUNDUP(((0*Costeo!$B$116+0*Costeo!$C$116)+(0*Costeo!$D$116+$A54*Costeo!$E$116)*0.05)*2,0)-8)+(0*Costeo!$B$131+0*Costeo!$C$131+0*Costeo!$D$131+$A54*Costeo!$E$131))*Costeo!$B$54+IF((0*Costeo!$B$36+0*Costeo!$C$36)&lt;=2000,10,IF((0*Costeo!$B$36+0*Costeo!$C$36)&lt;=5000,15,IF((0*Costeo!$B$36+0*Costeo!$C$36)&lt;=10000,60,110)))-10)*Costeo!$B$51,2))+(ROUND((MAX(0,(0*Costeo!$B$130+0*Costeo!$C$130+0*Costeo!$D$130+$A54*Costeo!$E$130)+20*2*2*Costeo!$B$69+30*(1/3600*Costeo!$B$55+5/3600*Costeo!$B$56)-Costeo!$B$58)+IF(AND((0*Costeo!$B$120+0*Costeo!$C$120+0*Costeo!$D$120+$A54*Costeo!$E$120)&lt;=1000000,(0*Costeo!$B$119+0*Costeo!$C$119+0*Costeo!$D$119+$A54*Costeo!$E$119)&lt;=1000),0,IF((0*Costeo!$B$120+0*Costeo!$C$120+0*Costeo!$D$120+$A54*Costeo!$E$120)&lt;=10000000,20,IF((0*Costeo!$B$120+0*Costeo!$C$120+0*Costeo!$D$120+$A54*Costeo!$E$120)&lt;=50000000,100,300)))+MAX(0,ROUNDUP((0*Costeo!$B$36+0*Costeo!$C$36+0*Costeo!$D$36+$A54*Costeo!$E$36)/5000,0)-1)*Costeo!$B$62+IF((0*Costeo!$B$36+0*Costeo!$C$36+0*Costeo!$D$36+$A54*Costeo!$E$36)&gt;5000,32-Costeo!$B$61,0))*Costeo!$B$51,2))))&gt;=0),$A54,1000000000)</f>
        <v>3</v>
      </c>
    </row>
    <row r="55" hidden="1" outlineLevel="1" ht="30" customHeight="1" s="61">
      <c r="A55" s="52" t="n">
        <v>4</v>
      </c>
      <c r="B55" s="121">
        <f>IF(AND($A55*Costeo!$B$36&lt;=10000,(($A55)*$D$9-$B$4-((ROUND((MAX(0,($A55*Costeo!$B$117+0*Costeo!$C$117+0*Costeo!$D$117+0*Costeo!$E$117)-100)*Costeo!$B$53+MAX(0,($A55*Costeo!$B$118+0*Costeo!$C$118+0*Costeo!$D$118+0*Costeo!$E$118)-250)*Costeo!$B$52+(MAX(0,ROUNDUP((($A55*Costeo!$B$116+0*Costeo!$C$116)+(0*Costeo!$D$116+0*Costeo!$E$116)*0.05)*2,0)-8)+($A55*Costeo!$B$131+0*Costeo!$C$131+0*Costeo!$D$131+0*Costeo!$E$131))*Costeo!$B$54+IF(($A55*Costeo!$B$36+0*Costeo!$C$36)&lt;=2000,10,IF(($A55*Costeo!$B$36+0*Costeo!$C$36)&lt;=5000,15,IF(($A55*Costeo!$B$36+0*Costeo!$C$36)&lt;=10000,60,110)))-10)*Costeo!$B$51,2))+(ROUND((MAX(0,($A55*Costeo!$B$130+0*Costeo!$C$130+0*Costeo!$D$130+0*Costeo!$E$130)+20*2*2*Costeo!$B$69+30*(1/3600*Costeo!$B$55+5/3600*Costeo!$B$56)-Costeo!$B$58)+IF(AND(($A55*Costeo!$B$120+0*Costeo!$C$120+0*Costeo!$D$120+0*Costeo!$E$120)&lt;=1000000,($A55*Costeo!$B$119+0*Costeo!$C$119+0*Costeo!$D$119+0*Costeo!$E$119)&lt;=1000),0,IF(($A55*Costeo!$B$120+0*Costeo!$C$120+0*Costeo!$D$120+0*Costeo!$E$120)&lt;=10000000,20,IF(($A55*Costeo!$B$120+0*Costeo!$C$120+0*Costeo!$D$120+0*Costeo!$E$120)&lt;=50000000,100,300)))+MAX(0,ROUNDUP(($A55*Costeo!$B$36+0*Costeo!$C$36+0*Costeo!$D$36+0*Costeo!$E$36)/5000,0)-1)*Costeo!$B$62+IF(($A55*Costeo!$B$36+0*Costeo!$C$36+0*Costeo!$D$36+0*Costeo!$E$36)&gt;5000,32-Costeo!$B$61,0))*Costeo!$B$51,2))))&gt;=0),$A55,1000000000)</f>
        <v>1000000000</v>
      </c>
      <c r="C55" s="121">
        <f>IF(AND($A55*Costeo!$C$36&lt;=10000,(($A55)*$D$10-$B$4-((ROUND((MAX(0,(0*Costeo!$B$117+$A55*Costeo!$C$117+0*Costeo!$D$117+0*Costeo!$E$117)-100)*Costeo!$B$53+MAX(0,(0*Costeo!$B$118+$A55*Costeo!$C$118+0*Costeo!$D$118+0*Costeo!$E$118)-250)*Costeo!$B$52+(MAX(0,ROUNDUP(((0*Costeo!$B$116+$A55*Costeo!$C$116)+(0*Costeo!$D$116+0*Costeo!$E$116)*0.05)*2,0)-8)+(0*Costeo!$B$131+$A55*Costeo!$C$131+0*Costeo!$D$131+0*Costeo!$E$131))*Costeo!$B$54+IF((0*Costeo!$B$36+$A55*Costeo!$C$36)&lt;=2000,10,IF((0*Costeo!$B$36+$A55*Costeo!$C$36)&lt;=5000,15,IF((0*Costeo!$B$36+$A55*Costeo!$C$36)&lt;=10000,60,110)))-10)*Costeo!$B$51,2))+(ROUND((MAX(0,(0*Costeo!$B$130+$A55*Costeo!$C$130+0*Costeo!$D$130+0*Costeo!$E$130)+20*2*2*Costeo!$B$69+30*(1/3600*Costeo!$B$55+5/3600*Costeo!$B$56)-Costeo!$B$58)+IF(AND((0*Costeo!$B$120+$A55*Costeo!$C$120+0*Costeo!$D$120+0*Costeo!$E$120)&lt;=1000000,(0*Costeo!$B$119+$A55*Costeo!$C$119+0*Costeo!$D$119+0*Costeo!$E$119)&lt;=1000),0,IF((0*Costeo!$B$120+$A55*Costeo!$C$120+0*Costeo!$D$120+0*Costeo!$E$120)&lt;=10000000,20,IF((0*Costeo!$B$120+$A55*Costeo!$C$120+0*Costeo!$D$120+0*Costeo!$E$120)&lt;=50000000,100,300)))+MAX(0,ROUNDUP((0*Costeo!$B$36+$A55*Costeo!$C$36+0*Costeo!$D$36+0*Costeo!$E$36)/5000,0)-1)*Costeo!$B$62+IF((0*Costeo!$B$36+$A55*Costeo!$C$36+0*Costeo!$D$36+0*Costeo!$E$36)&gt;5000,32-Costeo!$B$61,0))*Costeo!$B$51,2))))&gt;=0),$A55,1000000000)</f>
        <v>1000000000</v>
      </c>
      <c r="D55" s="121">
        <f>IF(AND($A55*Costeo!$D$36&lt;=10000,(($A55)*$D$11-$B$4-((ROUND((MAX(0,(0*Costeo!$B$117+0*Costeo!$C$117+$A55*Costeo!$D$117+0*Costeo!$E$117)-100)*Costeo!$B$53+MAX(0,(0*Costeo!$B$118+0*Costeo!$C$118+$A55*Costeo!$D$118+0*Costeo!$E$118)-250)*Costeo!$B$52+(MAX(0,ROUNDUP(((0*Costeo!$B$116+0*Costeo!$C$116)+($A55*Costeo!$D$116+0*Costeo!$E$116)*0.05)*2,0)-8)+(0*Costeo!$B$131+0*Costeo!$C$131+$A55*Costeo!$D$131+0*Costeo!$E$131))*Costeo!$B$54+IF((0*Costeo!$B$36+0*Costeo!$C$36)&lt;=2000,10,IF((0*Costeo!$B$36+0*Costeo!$C$36)&lt;=5000,15,IF((0*Costeo!$B$36+0*Costeo!$C$36)&lt;=10000,60,110)))-10)*Costeo!$B$51,2))+(ROUND((MAX(0,(0*Costeo!$B$130+0*Costeo!$C$130+$A55*Costeo!$D$130+0*Costeo!$E$130)+20*2*2*Costeo!$B$69+30*(1/3600*Costeo!$B$55+5/3600*Costeo!$B$56)-Costeo!$B$58)+IF(AND((0*Costeo!$B$120+0*Costeo!$C$120+$A55*Costeo!$D$120+0*Costeo!$E$120)&lt;=1000000,(0*Costeo!$B$119+0*Costeo!$C$119+$A55*Costeo!$D$119+0*Costeo!$E$119)&lt;=1000),0,IF((0*Costeo!$B$120+0*Costeo!$C$120+$A55*Costeo!$D$120+0*Costeo!$E$120)&lt;=10000000,20,IF((0*Costeo!$B$120+0*Costeo!$C$120+$A55*Costeo!$D$120+0*Costeo!$E$120)&lt;=50000000,100,300)))+MAX(0,ROUNDUP((0*Costeo!$B$36+0*Costeo!$C$36+$A55*Costeo!$D$36+0*Costeo!$E$36)/5000,0)-1)*Costeo!$B$62+IF((0*Costeo!$B$36+0*Costeo!$C$36+$A55*Costeo!$D$36+0*Costeo!$E$36)&gt;5000,32-Costeo!$B$61,0))*Costeo!$B$51,2))))&gt;=0),$A55,1000000000)</f>
        <v>4</v>
      </c>
      <c r="E55" s="121">
        <f>IF(AND($A55*Costeo!$E$36&lt;=10000,(($A55)*$D$12-$B$4-((ROUND((MAX(0,(0*Costeo!$B$117+0*Costeo!$C$117+0*Costeo!$D$117+$A55*Costeo!$E$117)-100)*Costeo!$B$53+MAX(0,(0*Costeo!$B$118+0*Costeo!$C$118+0*Costeo!$D$118+$A55*Costeo!$E$118)-250)*Costeo!$B$52+(MAX(0,ROUNDUP(((0*Costeo!$B$116+0*Costeo!$C$116)+(0*Costeo!$D$116+$A55*Costeo!$E$116)*0.05)*2,0)-8)+(0*Costeo!$B$131+0*Costeo!$C$131+0*Costeo!$D$131+$A55*Costeo!$E$131))*Costeo!$B$54+IF((0*Costeo!$B$36+0*Costeo!$C$36)&lt;=2000,10,IF((0*Costeo!$B$36+0*Costeo!$C$36)&lt;=5000,15,IF((0*Costeo!$B$36+0*Costeo!$C$36)&lt;=10000,60,110)))-10)*Costeo!$B$51,2))+(ROUND((MAX(0,(0*Costeo!$B$130+0*Costeo!$C$130+0*Costeo!$D$130+$A55*Costeo!$E$130)+20*2*2*Costeo!$B$69+30*(1/3600*Costeo!$B$55+5/3600*Costeo!$B$56)-Costeo!$B$58)+IF(AND((0*Costeo!$B$120+0*Costeo!$C$120+0*Costeo!$D$120+$A55*Costeo!$E$120)&lt;=1000000,(0*Costeo!$B$119+0*Costeo!$C$119+0*Costeo!$D$119+$A55*Costeo!$E$119)&lt;=1000),0,IF((0*Costeo!$B$120+0*Costeo!$C$120+0*Costeo!$D$120+$A55*Costeo!$E$120)&lt;=10000000,20,IF((0*Costeo!$B$120+0*Costeo!$C$120+0*Costeo!$D$120+$A55*Costeo!$E$120)&lt;=50000000,100,300)))+MAX(0,ROUNDUP((0*Costeo!$B$36+0*Costeo!$C$36+0*Costeo!$D$36+$A55*Costeo!$E$36)/5000,0)-1)*Costeo!$B$62+IF((0*Costeo!$B$36+0*Costeo!$C$36+0*Costeo!$D$36+$A55*Costeo!$E$36)&gt;5000,32-Costeo!$B$61,0))*Costeo!$B$51,2))))&gt;=0),$A55,1000000000)</f>
        <v>4</v>
      </c>
    </row>
    <row r="56" hidden="1" outlineLevel="1" ht="30" customHeight="1" s="61">
      <c r="A56" s="52" t="n">
        <v>5</v>
      </c>
      <c r="B56" s="121">
        <f>IF(AND($A56*Costeo!$B$36&lt;=10000,(($A56)*$D$9-$B$4-((ROUND((MAX(0,($A56*Costeo!$B$117+0*Costeo!$C$117+0*Costeo!$D$117+0*Costeo!$E$117)-100)*Costeo!$B$53+MAX(0,($A56*Costeo!$B$118+0*Costeo!$C$118+0*Costeo!$D$118+0*Costeo!$E$118)-250)*Costeo!$B$52+(MAX(0,ROUNDUP((($A56*Costeo!$B$116+0*Costeo!$C$116)+(0*Costeo!$D$116+0*Costeo!$E$116)*0.05)*2,0)-8)+($A56*Costeo!$B$131+0*Costeo!$C$131+0*Costeo!$D$131+0*Costeo!$E$131))*Costeo!$B$54+IF(($A56*Costeo!$B$36+0*Costeo!$C$36)&lt;=2000,10,IF(($A56*Costeo!$B$36+0*Costeo!$C$36)&lt;=5000,15,IF(($A56*Costeo!$B$36+0*Costeo!$C$36)&lt;=10000,60,110)))-10)*Costeo!$B$51,2))+(ROUND((MAX(0,($A56*Costeo!$B$130+0*Costeo!$C$130+0*Costeo!$D$130+0*Costeo!$E$130)+20*2*2*Costeo!$B$69+30*(1/3600*Costeo!$B$55+5/3600*Costeo!$B$56)-Costeo!$B$58)+IF(AND(($A56*Costeo!$B$120+0*Costeo!$C$120+0*Costeo!$D$120+0*Costeo!$E$120)&lt;=1000000,($A56*Costeo!$B$119+0*Costeo!$C$119+0*Costeo!$D$119+0*Costeo!$E$119)&lt;=1000),0,IF(($A56*Costeo!$B$120+0*Costeo!$C$120+0*Costeo!$D$120+0*Costeo!$E$120)&lt;=10000000,20,IF(($A56*Costeo!$B$120+0*Costeo!$C$120+0*Costeo!$D$120+0*Costeo!$E$120)&lt;=50000000,100,300)))+MAX(0,ROUNDUP(($A56*Costeo!$B$36+0*Costeo!$C$36+0*Costeo!$D$36+0*Costeo!$E$36)/5000,0)-1)*Costeo!$B$62+IF(($A56*Costeo!$B$36+0*Costeo!$C$36+0*Costeo!$D$36+0*Costeo!$E$36)&gt;5000,32-Costeo!$B$61,0))*Costeo!$B$51,2))))&gt;=0),$A56,1000000000)</f>
        <v>1000000000</v>
      </c>
      <c r="C56" s="121">
        <f>IF(AND($A56*Costeo!$C$36&lt;=10000,(($A56)*$D$10-$B$4-((ROUND((MAX(0,(0*Costeo!$B$117+$A56*Costeo!$C$117+0*Costeo!$D$117+0*Costeo!$E$117)-100)*Costeo!$B$53+MAX(0,(0*Costeo!$B$118+$A56*Costeo!$C$118+0*Costeo!$D$118+0*Costeo!$E$118)-250)*Costeo!$B$52+(MAX(0,ROUNDUP(((0*Costeo!$B$116+$A56*Costeo!$C$116)+(0*Costeo!$D$116+0*Costeo!$E$116)*0.05)*2,0)-8)+(0*Costeo!$B$131+$A56*Costeo!$C$131+0*Costeo!$D$131+0*Costeo!$E$131))*Costeo!$B$54+IF((0*Costeo!$B$36+$A56*Costeo!$C$36)&lt;=2000,10,IF((0*Costeo!$B$36+$A56*Costeo!$C$36)&lt;=5000,15,IF((0*Costeo!$B$36+$A56*Costeo!$C$36)&lt;=10000,60,110)))-10)*Costeo!$B$51,2))+(ROUND((MAX(0,(0*Costeo!$B$130+$A56*Costeo!$C$130+0*Costeo!$D$130+0*Costeo!$E$130)+20*2*2*Costeo!$B$69+30*(1/3600*Costeo!$B$55+5/3600*Costeo!$B$56)-Costeo!$B$58)+IF(AND((0*Costeo!$B$120+$A56*Costeo!$C$120+0*Costeo!$D$120+0*Costeo!$E$120)&lt;=1000000,(0*Costeo!$B$119+$A56*Costeo!$C$119+0*Costeo!$D$119+0*Costeo!$E$119)&lt;=1000),0,IF((0*Costeo!$B$120+$A56*Costeo!$C$120+0*Costeo!$D$120+0*Costeo!$E$120)&lt;=10000000,20,IF((0*Costeo!$B$120+$A56*Costeo!$C$120+0*Costeo!$D$120+0*Costeo!$E$120)&lt;=50000000,100,300)))+MAX(0,ROUNDUP((0*Costeo!$B$36+$A56*Costeo!$C$36+0*Costeo!$D$36+0*Costeo!$E$36)/5000,0)-1)*Costeo!$B$62+IF((0*Costeo!$B$36+$A56*Costeo!$C$36+0*Costeo!$D$36+0*Costeo!$E$36)&gt;5000,32-Costeo!$B$61,0))*Costeo!$B$51,2))))&gt;=0),$A56,1000000000)</f>
        <v>5</v>
      </c>
      <c r="D56" s="121">
        <f>IF(AND($A56*Costeo!$D$36&lt;=10000,(($A56)*$D$11-$B$4-((ROUND((MAX(0,(0*Costeo!$B$117+0*Costeo!$C$117+$A56*Costeo!$D$117+0*Costeo!$E$117)-100)*Costeo!$B$53+MAX(0,(0*Costeo!$B$118+0*Costeo!$C$118+$A56*Costeo!$D$118+0*Costeo!$E$118)-250)*Costeo!$B$52+(MAX(0,ROUNDUP(((0*Costeo!$B$116+0*Costeo!$C$116)+($A56*Costeo!$D$116+0*Costeo!$E$116)*0.05)*2,0)-8)+(0*Costeo!$B$131+0*Costeo!$C$131+$A56*Costeo!$D$131+0*Costeo!$E$131))*Costeo!$B$54+IF((0*Costeo!$B$36+0*Costeo!$C$36)&lt;=2000,10,IF((0*Costeo!$B$36+0*Costeo!$C$36)&lt;=5000,15,IF((0*Costeo!$B$36+0*Costeo!$C$36)&lt;=10000,60,110)))-10)*Costeo!$B$51,2))+(ROUND((MAX(0,(0*Costeo!$B$130+0*Costeo!$C$130+$A56*Costeo!$D$130+0*Costeo!$E$130)+20*2*2*Costeo!$B$69+30*(1/3600*Costeo!$B$55+5/3600*Costeo!$B$56)-Costeo!$B$58)+IF(AND((0*Costeo!$B$120+0*Costeo!$C$120+$A56*Costeo!$D$120+0*Costeo!$E$120)&lt;=1000000,(0*Costeo!$B$119+0*Costeo!$C$119+$A56*Costeo!$D$119+0*Costeo!$E$119)&lt;=1000),0,IF((0*Costeo!$B$120+0*Costeo!$C$120+$A56*Costeo!$D$120+0*Costeo!$E$120)&lt;=10000000,20,IF((0*Costeo!$B$120+0*Costeo!$C$120+$A56*Costeo!$D$120+0*Costeo!$E$120)&lt;=50000000,100,300)))+MAX(0,ROUNDUP((0*Costeo!$B$36+0*Costeo!$C$36+$A56*Costeo!$D$36+0*Costeo!$E$36)/5000,0)-1)*Costeo!$B$62+IF((0*Costeo!$B$36+0*Costeo!$C$36+$A56*Costeo!$D$36+0*Costeo!$E$36)&gt;5000,32-Costeo!$B$61,0))*Costeo!$B$51,2))))&gt;=0),$A56,1000000000)</f>
        <v>5</v>
      </c>
      <c r="E56" s="121">
        <f>IF(AND($A56*Costeo!$E$36&lt;=10000,(($A56)*$D$12-$B$4-((ROUND((MAX(0,(0*Costeo!$B$117+0*Costeo!$C$117+0*Costeo!$D$117+$A56*Costeo!$E$117)-100)*Costeo!$B$53+MAX(0,(0*Costeo!$B$118+0*Costeo!$C$118+0*Costeo!$D$118+$A56*Costeo!$E$118)-250)*Costeo!$B$52+(MAX(0,ROUNDUP(((0*Costeo!$B$116+0*Costeo!$C$116)+(0*Costeo!$D$116+$A56*Costeo!$E$116)*0.05)*2,0)-8)+(0*Costeo!$B$131+0*Costeo!$C$131+0*Costeo!$D$131+$A56*Costeo!$E$131))*Costeo!$B$54+IF((0*Costeo!$B$36+0*Costeo!$C$36)&lt;=2000,10,IF((0*Costeo!$B$36+0*Costeo!$C$36)&lt;=5000,15,IF((0*Costeo!$B$36+0*Costeo!$C$36)&lt;=10000,60,110)))-10)*Costeo!$B$51,2))+(ROUND((MAX(0,(0*Costeo!$B$130+0*Costeo!$C$130+0*Costeo!$D$130+$A56*Costeo!$E$130)+20*2*2*Costeo!$B$69+30*(1/3600*Costeo!$B$55+5/3600*Costeo!$B$56)-Costeo!$B$58)+IF(AND((0*Costeo!$B$120+0*Costeo!$C$120+0*Costeo!$D$120+$A56*Costeo!$E$120)&lt;=1000000,(0*Costeo!$B$119+0*Costeo!$C$119+0*Costeo!$D$119+$A56*Costeo!$E$119)&lt;=1000),0,IF((0*Costeo!$B$120+0*Costeo!$C$120+0*Costeo!$D$120+$A56*Costeo!$E$120)&lt;=10000000,20,IF((0*Costeo!$B$120+0*Costeo!$C$120+0*Costeo!$D$120+$A56*Costeo!$E$120)&lt;=50000000,100,300)))+MAX(0,ROUNDUP((0*Costeo!$B$36+0*Costeo!$C$36+0*Costeo!$D$36+$A56*Costeo!$E$36)/5000,0)-1)*Costeo!$B$62+IF((0*Costeo!$B$36+0*Costeo!$C$36+0*Costeo!$D$36+$A56*Costeo!$E$36)&gt;5000,32-Costeo!$B$61,0))*Costeo!$B$51,2))))&gt;=0),$A56,1000000000)</f>
        <v>5</v>
      </c>
    </row>
    <row r="57" hidden="1" outlineLevel="1" ht="30" customHeight="1" s="61">
      <c r="A57" s="52" t="n">
        <v>6</v>
      </c>
      <c r="B57" s="121">
        <f>IF(AND($A57*Costeo!$B$36&lt;=10000,(($A57)*$D$9-$B$4-((ROUND((MAX(0,($A57*Costeo!$B$117+0*Costeo!$C$117+0*Costeo!$D$117+0*Costeo!$E$117)-100)*Costeo!$B$53+MAX(0,($A57*Costeo!$B$118+0*Costeo!$C$118+0*Costeo!$D$118+0*Costeo!$E$118)-250)*Costeo!$B$52+(MAX(0,ROUNDUP((($A57*Costeo!$B$116+0*Costeo!$C$116)+(0*Costeo!$D$116+0*Costeo!$E$116)*0.05)*2,0)-8)+($A57*Costeo!$B$131+0*Costeo!$C$131+0*Costeo!$D$131+0*Costeo!$E$131))*Costeo!$B$54+IF(($A57*Costeo!$B$36+0*Costeo!$C$36)&lt;=2000,10,IF(($A57*Costeo!$B$36+0*Costeo!$C$36)&lt;=5000,15,IF(($A57*Costeo!$B$36+0*Costeo!$C$36)&lt;=10000,60,110)))-10)*Costeo!$B$51,2))+(ROUND((MAX(0,($A57*Costeo!$B$130+0*Costeo!$C$130+0*Costeo!$D$130+0*Costeo!$E$130)+20*2*2*Costeo!$B$69+30*(1/3600*Costeo!$B$55+5/3600*Costeo!$B$56)-Costeo!$B$58)+IF(AND(($A57*Costeo!$B$120+0*Costeo!$C$120+0*Costeo!$D$120+0*Costeo!$E$120)&lt;=1000000,($A57*Costeo!$B$119+0*Costeo!$C$119+0*Costeo!$D$119+0*Costeo!$E$119)&lt;=1000),0,IF(($A57*Costeo!$B$120+0*Costeo!$C$120+0*Costeo!$D$120+0*Costeo!$E$120)&lt;=10000000,20,IF(($A57*Costeo!$B$120+0*Costeo!$C$120+0*Costeo!$D$120+0*Costeo!$E$120)&lt;=50000000,100,300)))+MAX(0,ROUNDUP(($A57*Costeo!$B$36+0*Costeo!$C$36+0*Costeo!$D$36+0*Costeo!$E$36)/5000,0)-1)*Costeo!$B$62+IF(($A57*Costeo!$B$36+0*Costeo!$C$36+0*Costeo!$D$36+0*Costeo!$E$36)&gt;5000,32-Costeo!$B$61,0))*Costeo!$B$51,2))))&gt;=0),$A57,1000000000)</f>
        <v>1000000000</v>
      </c>
      <c r="C57" s="121">
        <f>IF(AND($A57*Costeo!$C$36&lt;=10000,(($A57)*$D$10-$B$4-((ROUND((MAX(0,(0*Costeo!$B$117+$A57*Costeo!$C$117+0*Costeo!$D$117+0*Costeo!$E$117)-100)*Costeo!$B$53+MAX(0,(0*Costeo!$B$118+$A57*Costeo!$C$118+0*Costeo!$D$118+0*Costeo!$E$118)-250)*Costeo!$B$52+(MAX(0,ROUNDUP(((0*Costeo!$B$116+$A57*Costeo!$C$116)+(0*Costeo!$D$116+0*Costeo!$E$116)*0.05)*2,0)-8)+(0*Costeo!$B$131+$A57*Costeo!$C$131+0*Costeo!$D$131+0*Costeo!$E$131))*Costeo!$B$54+IF((0*Costeo!$B$36+$A57*Costeo!$C$36)&lt;=2000,10,IF((0*Costeo!$B$36+$A57*Costeo!$C$36)&lt;=5000,15,IF((0*Costeo!$B$36+$A57*Costeo!$C$36)&lt;=10000,60,110)))-10)*Costeo!$B$51,2))+(ROUND((MAX(0,(0*Costeo!$B$130+$A57*Costeo!$C$130+0*Costeo!$D$130+0*Costeo!$E$130)+20*2*2*Costeo!$B$69+30*(1/3600*Costeo!$B$55+5/3600*Costeo!$B$56)-Costeo!$B$58)+IF(AND((0*Costeo!$B$120+$A57*Costeo!$C$120+0*Costeo!$D$120+0*Costeo!$E$120)&lt;=1000000,(0*Costeo!$B$119+$A57*Costeo!$C$119+0*Costeo!$D$119+0*Costeo!$E$119)&lt;=1000),0,IF((0*Costeo!$B$120+$A57*Costeo!$C$120+0*Costeo!$D$120+0*Costeo!$E$120)&lt;=10000000,20,IF((0*Costeo!$B$120+$A57*Costeo!$C$120+0*Costeo!$D$120+0*Costeo!$E$120)&lt;=50000000,100,300)))+MAX(0,ROUNDUP((0*Costeo!$B$36+$A57*Costeo!$C$36+0*Costeo!$D$36+0*Costeo!$E$36)/5000,0)-1)*Costeo!$B$62+IF((0*Costeo!$B$36+$A57*Costeo!$C$36+0*Costeo!$D$36+0*Costeo!$E$36)&gt;5000,32-Costeo!$B$61,0))*Costeo!$B$51,2))))&gt;=0),$A57,1000000000)</f>
        <v>6</v>
      </c>
      <c r="D57" s="121">
        <f>IF(AND($A57*Costeo!$D$36&lt;=10000,(($A57)*$D$11-$B$4-((ROUND((MAX(0,(0*Costeo!$B$117+0*Costeo!$C$117+$A57*Costeo!$D$117+0*Costeo!$E$117)-100)*Costeo!$B$53+MAX(0,(0*Costeo!$B$118+0*Costeo!$C$118+$A57*Costeo!$D$118+0*Costeo!$E$118)-250)*Costeo!$B$52+(MAX(0,ROUNDUP(((0*Costeo!$B$116+0*Costeo!$C$116)+($A57*Costeo!$D$116+0*Costeo!$E$116)*0.05)*2,0)-8)+(0*Costeo!$B$131+0*Costeo!$C$131+$A57*Costeo!$D$131+0*Costeo!$E$131))*Costeo!$B$54+IF((0*Costeo!$B$36+0*Costeo!$C$36)&lt;=2000,10,IF((0*Costeo!$B$36+0*Costeo!$C$36)&lt;=5000,15,IF((0*Costeo!$B$36+0*Costeo!$C$36)&lt;=10000,60,110)))-10)*Costeo!$B$51,2))+(ROUND((MAX(0,(0*Costeo!$B$130+0*Costeo!$C$130+$A57*Costeo!$D$130+0*Costeo!$E$130)+20*2*2*Costeo!$B$69+30*(1/3600*Costeo!$B$55+5/3600*Costeo!$B$56)-Costeo!$B$58)+IF(AND((0*Costeo!$B$120+0*Costeo!$C$120+$A57*Costeo!$D$120+0*Costeo!$E$120)&lt;=1000000,(0*Costeo!$B$119+0*Costeo!$C$119+$A57*Costeo!$D$119+0*Costeo!$E$119)&lt;=1000),0,IF((0*Costeo!$B$120+0*Costeo!$C$120+$A57*Costeo!$D$120+0*Costeo!$E$120)&lt;=10000000,20,IF((0*Costeo!$B$120+0*Costeo!$C$120+$A57*Costeo!$D$120+0*Costeo!$E$120)&lt;=50000000,100,300)))+MAX(0,ROUNDUP((0*Costeo!$B$36+0*Costeo!$C$36+$A57*Costeo!$D$36+0*Costeo!$E$36)/5000,0)-1)*Costeo!$B$62+IF((0*Costeo!$B$36+0*Costeo!$C$36+$A57*Costeo!$D$36+0*Costeo!$E$36)&gt;5000,32-Costeo!$B$61,0))*Costeo!$B$51,2))))&gt;=0),$A57,1000000000)</f>
        <v>6</v>
      </c>
      <c r="E57" s="121">
        <f>IF(AND($A57*Costeo!$E$36&lt;=10000,(($A57)*$D$12-$B$4-((ROUND((MAX(0,(0*Costeo!$B$117+0*Costeo!$C$117+0*Costeo!$D$117+$A57*Costeo!$E$117)-100)*Costeo!$B$53+MAX(0,(0*Costeo!$B$118+0*Costeo!$C$118+0*Costeo!$D$118+$A57*Costeo!$E$118)-250)*Costeo!$B$52+(MAX(0,ROUNDUP(((0*Costeo!$B$116+0*Costeo!$C$116)+(0*Costeo!$D$116+$A57*Costeo!$E$116)*0.05)*2,0)-8)+(0*Costeo!$B$131+0*Costeo!$C$131+0*Costeo!$D$131+$A57*Costeo!$E$131))*Costeo!$B$54+IF((0*Costeo!$B$36+0*Costeo!$C$36)&lt;=2000,10,IF((0*Costeo!$B$36+0*Costeo!$C$36)&lt;=5000,15,IF((0*Costeo!$B$36+0*Costeo!$C$36)&lt;=10000,60,110)))-10)*Costeo!$B$51,2))+(ROUND((MAX(0,(0*Costeo!$B$130+0*Costeo!$C$130+0*Costeo!$D$130+$A57*Costeo!$E$130)+20*2*2*Costeo!$B$69+30*(1/3600*Costeo!$B$55+5/3600*Costeo!$B$56)-Costeo!$B$58)+IF(AND((0*Costeo!$B$120+0*Costeo!$C$120+0*Costeo!$D$120+$A57*Costeo!$E$120)&lt;=1000000,(0*Costeo!$B$119+0*Costeo!$C$119+0*Costeo!$D$119+$A57*Costeo!$E$119)&lt;=1000),0,IF((0*Costeo!$B$120+0*Costeo!$C$120+0*Costeo!$D$120+$A57*Costeo!$E$120)&lt;=10000000,20,IF((0*Costeo!$B$120+0*Costeo!$C$120+0*Costeo!$D$120+$A57*Costeo!$E$120)&lt;=50000000,100,300)))+MAX(0,ROUNDUP((0*Costeo!$B$36+0*Costeo!$C$36+0*Costeo!$D$36+$A57*Costeo!$E$36)/5000,0)-1)*Costeo!$B$62+IF((0*Costeo!$B$36+0*Costeo!$C$36+0*Costeo!$D$36+$A57*Costeo!$E$36)&gt;5000,32-Costeo!$B$61,0))*Costeo!$B$51,2))))&gt;=0),$A57,1000000000)</f>
        <v>6</v>
      </c>
    </row>
    <row r="58" hidden="1" outlineLevel="1" ht="30" customHeight="1" s="61">
      <c r="A58" s="52" t="n">
        <v>7</v>
      </c>
      <c r="B58" s="121">
        <f>IF(AND($A58*Costeo!$B$36&lt;=10000,(($A58)*$D$9-$B$4-((ROUND((MAX(0,($A58*Costeo!$B$117+0*Costeo!$C$117+0*Costeo!$D$117+0*Costeo!$E$117)-100)*Costeo!$B$53+MAX(0,($A58*Costeo!$B$118+0*Costeo!$C$118+0*Costeo!$D$118+0*Costeo!$E$118)-250)*Costeo!$B$52+(MAX(0,ROUNDUP((($A58*Costeo!$B$116+0*Costeo!$C$116)+(0*Costeo!$D$116+0*Costeo!$E$116)*0.05)*2,0)-8)+($A58*Costeo!$B$131+0*Costeo!$C$131+0*Costeo!$D$131+0*Costeo!$E$131))*Costeo!$B$54+IF(($A58*Costeo!$B$36+0*Costeo!$C$36)&lt;=2000,10,IF(($A58*Costeo!$B$36+0*Costeo!$C$36)&lt;=5000,15,IF(($A58*Costeo!$B$36+0*Costeo!$C$36)&lt;=10000,60,110)))-10)*Costeo!$B$51,2))+(ROUND((MAX(0,($A58*Costeo!$B$130+0*Costeo!$C$130+0*Costeo!$D$130+0*Costeo!$E$130)+20*2*2*Costeo!$B$69+30*(1/3600*Costeo!$B$55+5/3600*Costeo!$B$56)-Costeo!$B$58)+IF(AND(($A58*Costeo!$B$120+0*Costeo!$C$120+0*Costeo!$D$120+0*Costeo!$E$120)&lt;=1000000,($A58*Costeo!$B$119+0*Costeo!$C$119+0*Costeo!$D$119+0*Costeo!$E$119)&lt;=1000),0,IF(($A58*Costeo!$B$120+0*Costeo!$C$120+0*Costeo!$D$120+0*Costeo!$E$120)&lt;=10000000,20,IF(($A58*Costeo!$B$120+0*Costeo!$C$120+0*Costeo!$D$120+0*Costeo!$E$120)&lt;=50000000,100,300)))+MAX(0,ROUNDUP(($A58*Costeo!$B$36+0*Costeo!$C$36+0*Costeo!$D$36+0*Costeo!$E$36)/5000,0)-1)*Costeo!$B$62+IF(($A58*Costeo!$B$36+0*Costeo!$C$36+0*Costeo!$D$36+0*Costeo!$E$36)&gt;5000,32-Costeo!$B$61,0))*Costeo!$B$51,2))))&gt;=0),$A58,1000000000)</f>
        <v>1000000000</v>
      </c>
      <c r="C58" s="121">
        <f>IF(AND($A58*Costeo!$C$36&lt;=10000,(($A58)*$D$10-$B$4-((ROUND((MAX(0,(0*Costeo!$B$117+$A58*Costeo!$C$117+0*Costeo!$D$117+0*Costeo!$E$117)-100)*Costeo!$B$53+MAX(0,(0*Costeo!$B$118+$A58*Costeo!$C$118+0*Costeo!$D$118+0*Costeo!$E$118)-250)*Costeo!$B$52+(MAX(0,ROUNDUP(((0*Costeo!$B$116+$A58*Costeo!$C$116)+(0*Costeo!$D$116+0*Costeo!$E$116)*0.05)*2,0)-8)+(0*Costeo!$B$131+$A58*Costeo!$C$131+0*Costeo!$D$131+0*Costeo!$E$131))*Costeo!$B$54+IF((0*Costeo!$B$36+$A58*Costeo!$C$36)&lt;=2000,10,IF((0*Costeo!$B$36+$A58*Costeo!$C$36)&lt;=5000,15,IF((0*Costeo!$B$36+$A58*Costeo!$C$36)&lt;=10000,60,110)))-10)*Costeo!$B$51,2))+(ROUND((MAX(0,(0*Costeo!$B$130+$A58*Costeo!$C$130+0*Costeo!$D$130+0*Costeo!$E$130)+20*2*2*Costeo!$B$69+30*(1/3600*Costeo!$B$55+5/3600*Costeo!$B$56)-Costeo!$B$58)+IF(AND((0*Costeo!$B$120+$A58*Costeo!$C$120+0*Costeo!$D$120+0*Costeo!$E$120)&lt;=1000000,(0*Costeo!$B$119+$A58*Costeo!$C$119+0*Costeo!$D$119+0*Costeo!$E$119)&lt;=1000),0,IF((0*Costeo!$B$120+$A58*Costeo!$C$120+0*Costeo!$D$120+0*Costeo!$E$120)&lt;=10000000,20,IF((0*Costeo!$B$120+$A58*Costeo!$C$120+0*Costeo!$D$120+0*Costeo!$E$120)&lt;=50000000,100,300)))+MAX(0,ROUNDUP((0*Costeo!$B$36+$A58*Costeo!$C$36+0*Costeo!$D$36+0*Costeo!$E$36)/5000,0)-1)*Costeo!$B$62+IF((0*Costeo!$B$36+$A58*Costeo!$C$36+0*Costeo!$D$36+0*Costeo!$E$36)&gt;5000,32-Costeo!$B$61,0))*Costeo!$B$51,2))))&gt;=0),$A58,1000000000)</f>
        <v>7</v>
      </c>
      <c r="D58" s="121">
        <f>IF(AND($A58*Costeo!$D$36&lt;=10000,(($A58)*$D$11-$B$4-((ROUND((MAX(0,(0*Costeo!$B$117+0*Costeo!$C$117+$A58*Costeo!$D$117+0*Costeo!$E$117)-100)*Costeo!$B$53+MAX(0,(0*Costeo!$B$118+0*Costeo!$C$118+$A58*Costeo!$D$118+0*Costeo!$E$118)-250)*Costeo!$B$52+(MAX(0,ROUNDUP(((0*Costeo!$B$116+0*Costeo!$C$116)+($A58*Costeo!$D$116+0*Costeo!$E$116)*0.05)*2,0)-8)+(0*Costeo!$B$131+0*Costeo!$C$131+$A58*Costeo!$D$131+0*Costeo!$E$131))*Costeo!$B$54+IF((0*Costeo!$B$36+0*Costeo!$C$36)&lt;=2000,10,IF((0*Costeo!$B$36+0*Costeo!$C$36)&lt;=5000,15,IF((0*Costeo!$B$36+0*Costeo!$C$36)&lt;=10000,60,110)))-10)*Costeo!$B$51,2))+(ROUND((MAX(0,(0*Costeo!$B$130+0*Costeo!$C$130+$A58*Costeo!$D$130+0*Costeo!$E$130)+20*2*2*Costeo!$B$69+30*(1/3600*Costeo!$B$55+5/3600*Costeo!$B$56)-Costeo!$B$58)+IF(AND((0*Costeo!$B$120+0*Costeo!$C$120+$A58*Costeo!$D$120+0*Costeo!$E$120)&lt;=1000000,(0*Costeo!$B$119+0*Costeo!$C$119+$A58*Costeo!$D$119+0*Costeo!$E$119)&lt;=1000),0,IF((0*Costeo!$B$120+0*Costeo!$C$120+$A58*Costeo!$D$120+0*Costeo!$E$120)&lt;=10000000,20,IF((0*Costeo!$B$120+0*Costeo!$C$120+$A58*Costeo!$D$120+0*Costeo!$E$120)&lt;=50000000,100,300)))+MAX(0,ROUNDUP((0*Costeo!$B$36+0*Costeo!$C$36+$A58*Costeo!$D$36+0*Costeo!$E$36)/5000,0)-1)*Costeo!$B$62+IF((0*Costeo!$B$36+0*Costeo!$C$36+$A58*Costeo!$D$36+0*Costeo!$E$36)&gt;5000,32-Costeo!$B$61,0))*Costeo!$B$51,2))))&gt;=0),$A58,1000000000)</f>
        <v>7</v>
      </c>
      <c r="E58" s="121">
        <f>IF(AND($A58*Costeo!$E$36&lt;=10000,(($A58)*$D$12-$B$4-((ROUND((MAX(0,(0*Costeo!$B$117+0*Costeo!$C$117+0*Costeo!$D$117+$A58*Costeo!$E$117)-100)*Costeo!$B$53+MAX(0,(0*Costeo!$B$118+0*Costeo!$C$118+0*Costeo!$D$118+$A58*Costeo!$E$118)-250)*Costeo!$B$52+(MAX(0,ROUNDUP(((0*Costeo!$B$116+0*Costeo!$C$116)+(0*Costeo!$D$116+$A58*Costeo!$E$116)*0.05)*2,0)-8)+(0*Costeo!$B$131+0*Costeo!$C$131+0*Costeo!$D$131+$A58*Costeo!$E$131))*Costeo!$B$54+IF((0*Costeo!$B$36+0*Costeo!$C$36)&lt;=2000,10,IF((0*Costeo!$B$36+0*Costeo!$C$36)&lt;=5000,15,IF((0*Costeo!$B$36+0*Costeo!$C$36)&lt;=10000,60,110)))-10)*Costeo!$B$51,2))+(ROUND((MAX(0,(0*Costeo!$B$130+0*Costeo!$C$130+0*Costeo!$D$130+$A58*Costeo!$E$130)+20*2*2*Costeo!$B$69+30*(1/3600*Costeo!$B$55+5/3600*Costeo!$B$56)-Costeo!$B$58)+IF(AND((0*Costeo!$B$120+0*Costeo!$C$120+0*Costeo!$D$120+$A58*Costeo!$E$120)&lt;=1000000,(0*Costeo!$B$119+0*Costeo!$C$119+0*Costeo!$D$119+$A58*Costeo!$E$119)&lt;=1000),0,IF((0*Costeo!$B$120+0*Costeo!$C$120+0*Costeo!$D$120+$A58*Costeo!$E$120)&lt;=10000000,20,IF((0*Costeo!$B$120+0*Costeo!$C$120+0*Costeo!$D$120+$A58*Costeo!$E$120)&lt;=50000000,100,300)))+MAX(0,ROUNDUP((0*Costeo!$B$36+0*Costeo!$C$36+0*Costeo!$D$36+$A58*Costeo!$E$36)/5000,0)-1)*Costeo!$B$62+IF((0*Costeo!$B$36+0*Costeo!$C$36+0*Costeo!$D$36+$A58*Costeo!$E$36)&gt;5000,32-Costeo!$B$61,0))*Costeo!$B$51,2))))&gt;=0),$A58,1000000000)</f>
        <v>7</v>
      </c>
    </row>
    <row r="59" hidden="1" outlineLevel="1" ht="30" customHeight="1" s="61">
      <c r="A59" s="52" t="n">
        <v>8</v>
      </c>
      <c r="B59" s="121">
        <f>IF(AND($A59*Costeo!$B$36&lt;=10000,(($A59)*$D$9-$B$4-((ROUND((MAX(0,($A59*Costeo!$B$117+0*Costeo!$C$117+0*Costeo!$D$117+0*Costeo!$E$117)-100)*Costeo!$B$53+MAX(0,($A59*Costeo!$B$118+0*Costeo!$C$118+0*Costeo!$D$118+0*Costeo!$E$118)-250)*Costeo!$B$52+(MAX(0,ROUNDUP((($A59*Costeo!$B$116+0*Costeo!$C$116)+(0*Costeo!$D$116+0*Costeo!$E$116)*0.05)*2,0)-8)+($A59*Costeo!$B$131+0*Costeo!$C$131+0*Costeo!$D$131+0*Costeo!$E$131))*Costeo!$B$54+IF(($A59*Costeo!$B$36+0*Costeo!$C$36)&lt;=2000,10,IF(($A59*Costeo!$B$36+0*Costeo!$C$36)&lt;=5000,15,IF(($A59*Costeo!$B$36+0*Costeo!$C$36)&lt;=10000,60,110)))-10)*Costeo!$B$51,2))+(ROUND((MAX(0,($A59*Costeo!$B$130+0*Costeo!$C$130+0*Costeo!$D$130+0*Costeo!$E$130)+20*2*2*Costeo!$B$69+30*(1/3600*Costeo!$B$55+5/3600*Costeo!$B$56)-Costeo!$B$58)+IF(AND(($A59*Costeo!$B$120+0*Costeo!$C$120+0*Costeo!$D$120+0*Costeo!$E$120)&lt;=1000000,($A59*Costeo!$B$119+0*Costeo!$C$119+0*Costeo!$D$119+0*Costeo!$E$119)&lt;=1000),0,IF(($A59*Costeo!$B$120+0*Costeo!$C$120+0*Costeo!$D$120+0*Costeo!$E$120)&lt;=10000000,20,IF(($A59*Costeo!$B$120+0*Costeo!$C$120+0*Costeo!$D$120+0*Costeo!$E$120)&lt;=50000000,100,300)))+MAX(0,ROUNDUP(($A59*Costeo!$B$36+0*Costeo!$C$36+0*Costeo!$D$36+0*Costeo!$E$36)/5000,0)-1)*Costeo!$B$62+IF(($A59*Costeo!$B$36+0*Costeo!$C$36+0*Costeo!$D$36+0*Costeo!$E$36)&gt;5000,32-Costeo!$B$61,0))*Costeo!$B$51,2))))&gt;=0),$A59,1000000000)</f>
        <v>1000000000</v>
      </c>
      <c r="C59" s="121">
        <f>IF(AND($A59*Costeo!$C$36&lt;=10000,(($A59)*$D$10-$B$4-((ROUND((MAX(0,(0*Costeo!$B$117+$A59*Costeo!$C$117+0*Costeo!$D$117+0*Costeo!$E$117)-100)*Costeo!$B$53+MAX(0,(0*Costeo!$B$118+$A59*Costeo!$C$118+0*Costeo!$D$118+0*Costeo!$E$118)-250)*Costeo!$B$52+(MAX(0,ROUNDUP(((0*Costeo!$B$116+$A59*Costeo!$C$116)+(0*Costeo!$D$116+0*Costeo!$E$116)*0.05)*2,0)-8)+(0*Costeo!$B$131+$A59*Costeo!$C$131+0*Costeo!$D$131+0*Costeo!$E$131))*Costeo!$B$54+IF((0*Costeo!$B$36+$A59*Costeo!$C$36)&lt;=2000,10,IF((0*Costeo!$B$36+$A59*Costeo!$C$36)&lt;=5000,15,IF((0*Costeo!$B$36+$A59*Costeo!$C$36)&lt;=10000,60,110)))-10)*Costeo!$B$51,2))+(ROUND((MAX(0,(0*Costeo!$B$130+$A59*Costeo!$C$130+0*Costeo!$D$130+0*Costeo!$E$130)+20*2*2*Costeo!$B$69+30*(1/3600*Costeo!$B$55+5/3600*Costeo!$B$56)-Costeo!$B$58)+IF(AND((0*Costeo!$B$120+$A59*Costeo!$C$120+0*Costeo!$D$120+0*Costeo!$E$120)&lt;=1000000,(0*Costeo!$B$119+$A59*Costeo!$C$119+0*Costeo!$D$119+0*Costeo!$E$119)&lt;=1000),0,IF((0*Costeo!$B$120+$A59*Costeo!$C$120+0*Costeo!$D$120+0*Costeo!$E$120)&lt;=10000000,20,IF((0*Costeo!$B$120+$A59*Costeo!$C$120+0*Costeo!$D$120+0*Costeo!$E$120)&lt;=50000000,100,300)))+MAX(0,ROUNDUP((0*Costeo!$B$36+$A59*Costeo!$C$36+0*Costeo!$D$36+0*Costeo!$E$36)/5000,0)-1)*Costeo!$B$62+IF((0*Costeo!$B$36+$A59*Costeo!$C$36+0*Costeo!$D$36+0*Costeo!$E$36)&gt;5000,32-Costeo!$B$61,0))*Costeo!$B$51,2))))&gt;=0),$A59,1000000000)</f>
        <v>8</v>
      </c>
      <c r="D59" s="121">
        <f>IF(AND($A59*Costeo!$D$36&lt;=10000,(($A59)*$D$11-$B$4-((ROUND((MAX(0,(0*Costeo!$B$117+0*Costeo!$C$117+$A59*Costeo!$D$117+0*Costeo!$E$117)-100)*Costeo!$B$53+MAX(0,(0*Costeo!$B$118+0*Costeo!$C$118+$A59*Costeo!$D$118+0*Costeo!$E$118)-250)*Costeo!$B$52+(MAX(0,ROUNDUP(((0*Costeo!$B$116+0*Costeo!$C$116)+($A59*Costeo!$D$116+0*Costeo!$E$116)*0.05)*2,0)-8)+(0*Costeo!$B$131+0*Costeo!$C$131+$A59*Costeo!$D$131+0*Costeo!$E$131))*Costeo!$B$54+IF((0*Costeo!$B$36+0*Costeo!$C$36)&lt;=2000,10,IF((0*Costeo!$B$36+0*Costeo!$C$36)&lt;=5000,15,IF((0*Costeo!$B$36+0*Costeo!$C$36)&lt;=10000,60,110)))-10)*Costeo!$B$51,2))+(ROUND((MAX(0,(0*Costeo!$B$130+0*Costeo!$C$130+$A59*Costeo!$D$130+0*Costeo!$E$130)+20*2*2*Costeo!$B$69+30*(1/3600*Costeo!$B$55+5/3600*Costeo!$B$56)-Costeo!$B$58)+IF(AND((0*Costeo!$B$120+0*Costeo!$C$120+$A59*Costeo!$D$120+0*Costeo!$E$120)&lt;=1000000,(0*Costeo!$B$119+0*Costeo!$C$119+$A59*Costeo!$D$119+0*Costeo!$E$119)&lt;=1000),0,IF((0*Costeo!$B$120+0*Costeo!$C$120+$A59*Costeo!$D$120+0*Costeo!$E$120)&lt;=10000000,20,IF((0*Costeo!$B$120+0*Costeo!$C$120+$A59*Costeo!$D$120+0*Costeo!$E$120)&lt;=50000000,100,300)))+MAX(0,ROUNDUP((0*Costeo!$B$36+0*Costeo!$C$36+$A59*Costeo!$D$36+0*Costeo!$E$36)/5000,0)-1)*Costeo!$B$62+IF((0*Costeo!$B$36+0*Costeo!$C$36+$A59*Costeo!$D$36+0*Costeo!$E$36)&gt;5000,32-Costeo!$B$61,0))*Costeo!$B$51,2))))&gt;=0),$A59,1000000000)</f>
        <v>8</v>
      </c>
      <c r="E59" s="121">
        <f>IF(AND($A59*Costeo!$E$36&lt;=10000,(($A59)*$D$12-$B$4-((ROUND((MAX(0,(0*Costeo!$B$117+0*Costeo!$C$117+0*Costeo!$D$117+$A59*Costeo!$E$117)-100)*Costeo!$B$53+MAX(0,(0*Costeo!$B$118+0*Costeo!$C$118+0*Costeo!$D$118+$A59*Costeo!$E$118)-250)*Costeo!$B$52+(MAX(0,ROUNDUP(((0*Costeo!$B$116+0*Costeo!$C$116)+(0*Costeo!$D$116+$A59*Costeo!$E$116)*0.05)*2,0)-8)+(0*Costeo!$B$131+0*Costeo!$C$131+0*Costeo!$D$131+$A59*Costeo!$E$131))*Costeo!$B$54+IF((0*Costeo!$B$36+0*Costeo!$C$36)&lt;=2000,10,IF((0*Costeo!$B$36+0*Costeo!$C$36)&lt;=5000,15,IF((0*Costeo!$B$36+0*Costeo!$C$36)&lt;=10000,60,110)))-10)*Costeo!$B$51,2))+(ROUND((MAX(0,(0*Costeo!$B$130+0*Costeo!$C$130+0*Costeo!$D$130+$A59*Costeo!$E$130)+20*2*2*Costeo!$B$69+30*(1/3600*Costeo!$B$55+5/3600*Costeo!$B$56)-Costeo!$B$58)+IF(AND((0*Costeo!$B$120+0*Costeo!$C$120+0*Costeo!$D$120+$A59*Costeo!$E$120)&lt;=1000000,(0*Costeo!$B$119+0*Costeo!$C$119+0*Costeo!$D$119+$A59*Costeo!$E$119)&lt;=1000),0,IF((0*Costeo!$B$120+0*Costeo!$C$120+0*Costeo!$D$120+$A59*Costeo!$E$120)&lt;=10000000,20,IF((0*Costeo!$B$120+0*Costeo!$C$120+0*Costeo!$D$120+$A59*Costeo!$E$120)&lt;=50000000,100,300)))+MAX(0,ROUNDUP((0*Costeo!$B$36+0*Costeo!$C$36+0*Costeo!$D$36+$A59*Costeo!$E$36)/5000,0)-1)*Costeo!$B$62+IF((0*Costeo!$B$36+0*Costeo!$C$36+0*Costeo!$D$36+$A59*Costeo!$E$36)&gt;5000,32-Costeo!$B$61,0))*Costeo!$B$51,2))))&gt;=0),$A59,1000000000)</f>
        <v>8</v>
      </c>
    </row>
    <row r="60" hidden="1" outlineLevel="1" ht="30" customHeight="1" s="61">
      <c r="A60" s="52" t="n">
        <v>9</v>
      </c>
      <c r="B60" s="121">
        <f>IF(AND($A60*Costeo!$B$36&lt;=10000,(($A60)*$D$9-$B$4-((ROUND((MAX(0,($A60*Costeo!$B$117+0*Costeo!$C$117+0*Costeo!$D$117+0*Costeo!$E$117)-100)*Costeo!$B$53+MAX(0,($A60*Costeo!$B$118+0*Costeo!$C$118+0*Costeo!$D$118+0*Costeo!$E$118)-250)*Costeo!$B$52+(MAX(0,ROUNDUP((($A60*Costeo!$B$116+0*Costeo!$C$116)+(0*Costeo!$D$116+0*Costeo!$E$116)*0.05)*2,0)-8)+($A60*Costeo!$B$131+0*Costeo!$C$131+0*Costeo!$D$131+0*Costeo!$E$131))*Costeo!$B$54+IF(($A60*Costeo!$B$36+0*Costeo!$C$36)&lt;=2000,10,IF(($A60*Costeo!$B$36+0*Costeo!$C$36)&lt;=5000,15,IF(($A60*Costeo!$B$36+0*Costeo!$C$36)&lt;=10000,60,110)))-10)*Costeo!$B$51,2))+(ROUND((MAX(0,($A60*Costeo!$B$130+0*Costeo!$C$130+0*Costeo!$D$130+0*Costeo!$E$130)+20*2*2*Costeo!$B$69+30*(1/3600*Costeo!$B$55+5/3600*Costeo!$B$56)-Costeo!$B$58)+IF(AND(($A60*Costeo!$B$120+0*Costeo!$C$120+0*Costeo!$D$120+0*Costeo!$E$120)&lt;=1000000,($A60*Costeo!$B$119+0*Costeo!$C$119+0*Costeo!$D$119+0*Costeo!$E$119)&lt;=1000),0,IF(($A60*Costeo!$B$120+0*Costeo!$C$120+0*Costeo!$D$120+0*Costeo!$E$120)&lt;=10000000,20,IF(($A60*Costeo!$B$120+0*Costeo!$C$120+0*Costeo!$D$120+0*Costeo!$E$120)&lt;=50000000,100,300)))+MAX(0,ROUNDUP(($A60*Costeo!$B$36+0*Costeo!$C$36+0*Costeo!$D$36+0*Costeo!$E$36)/5000,0)-1)*Costeo!$B$62+IF(($A60*Costeo!$B$36+0*Costeo!$C$36+0*Costeo!$D$36+0*Costeo!$E$36)&gt;5000,32-Costeo!$B$61,0))*Costeo!$B$51,2))))&gt;=0),$A60,1000000000)</f>
        <v>9</v>
      </c>
      <c r="C60" s="121">
        <f>IF(AND($A60*Costeo!$C$36&lt;=10000,(($A60)*$D$10-$B$4-((ROUND((MAX(0,(0*Costeo!$B$117+$A60*Costeo!$C$117+0*Costeo!$D$117+0*Costeo!$E$117)-100)*Costeo!$B$53+MAX(0,(0*Costeo!$B$118+$A60*Costeo!$C$118+0*Costeo!$D$118+0*Costeo!$E$118)-250)*Costeo!$B$52+(MAX(0,ROUNDUP(((0*Costeo!$B$116+$A60*Costeo!$C$116)+(0*Costeo!$D$116+0*Costeo!$E$116)*0.05)*2,0)-8)+(0*Costeo!$B$131+$A60*Costeo!$C$131+0*Costeo!$D$131+0*Costeo!$E$131))*Costeo!$B$54+IF((0*Costeo!$B$36+$A60*Costeo!$C$36)&lt;=2000,10,IF((0*Costeo!$B$36+$A60*Costeo!$C$36)&lt;=5000,15,IF((0*Costeo!$B$36+$A60*Costeo!$C$36)&lt;=10000,60,110)))-10)*Costeo!$B$51,2))+(ROUND((MAX(0,(0*Costeo!$B$130+$A60*Costeo!$C$130+0*Costeo!$D$130+0*Costeo!$E$130)+20*2*2*Costeo!$B$69+30*(1/3600*Costeo!$B$55+5/3600*Costeo!$B$56)-Costeo!$B$58)+IF(AND((0*Costeo!$B$120+$A60*Costeo!$C$120+0*Costeo!$D$120+0*Costeo!$E$120)&lt;=1000000,(0*Costeo!$B$119+$A60*Costeo!$C$119+0*Costeo!$D$119+0*Costeo!$E$119)&lt;=1000),0,IF((0*Costeo!$B$120+$A60*Costeo!$C$120+0*Costeo!$D$120+0*Costeo!$E$120)&lt;=10000000,20,IF((0*Costeo!$B$120+$A60*Costeo!$C$120+0*Costeo!$D$120+0*Costeo!$E$120)&lt;=50000000,100,300)))+MAX(0,ROUNDUP((0*Costeo!$B$36+$A60*Costeo!$C$36+0*Costeo!$D$36+0*Costeo!$E$36)/5000,0)-1)*Costeo!$B$62+IF((0*Costeo!$B$36+$A60*Costeo!$C$36+0*Costeo!$D$36+0*Costeo!$E$36)&gt;5000,32-Costeo!$B$61,0))*Costeo!$B$51,2))))&gt;=0),$A60,1000000000)</f>
        <v>9</v>
      </c>
      <c r="D60" s="121">
        <f>IF(AND($A60*Costeo!$D$36&lt;=10000,(($A60)*$D$11-$B$4-((ROUND((MAX(0,(0*Costeo!$B$117+0*Costeo!$C$117+$A60*Costeo!$D$117+0*Costeo!$E$117)-100)*Costeo!$B$53+MAX(0,(0*Costeo!$B$118+0*Costeo!$C$118+$A60*Costeo!$D$118+0*Costeo!$E$118)-250)*Costeo!$B$52+(MAX(0,ROUNDUP(((0*Costeo!$B$116+0*Costeo!$C$116)+($A60*Costeo!$D$116+0*Costeo!$E$116)*0.05)*2,0)-8)+(0*Costeo!$B$131+0*Costeo!$C$131+$A60*Costeo!$D$131+0*Costeo!$E$131))*Costeo!$B$54+IF((0*Costeo!$B$36+0*Costeo!$C$36)&lt;=2000,10,IF((0*Costeo!$B$36+0*Costeo!$C$36)&lt;=5000,15,IF((0*Costeo!$B$36+0*Costeo!$C$36)&lt;=10000,60,110)))-10)*Costeo!$B$51,2))+(ROUND((MAX(0,(0*Costeo!$B$130+0*Costeo!$C$130+$A60*Costeo!$D$130+0*Costeo!$E$130)+20*2*2*Costeo!$B$69+30*(1/3600*Costeo!$B$55+5/3600*Costeo!$B$56)-Costeo!$B$58)+IF(AND((0*Costeo!$B$120+0*Costeo!$C$120+$A60*Costeo!$D$120+0*Costeo!$E$120)&lt;=1000000,(0*Costeo!$B$119+0*Costeo!$C$119+$A60*Costeo!$D$119+0*Costeo!$E$119)&lt;=1000),0,IF((0*Costeo!$B$120+0*Costeo!$C$120+$A60*Costeo!$D$120+0*Costeo!$E$120)&lt;=10000000,20,IF((0*Costeo!$B$120+0*Costeo!$C$120+$A60*Costeo!$D$120+0*Costeo!$E$120)&lt;=50000000,100,300)))+MAX(0,ROUNDUP((0*Costeo!$B$36+0*Costeo!$C$36+$A60*Costeo!$D$36+0*Costeo!$E$36)/5000,0)-1)*Costeo!$B$62+IF((0*Costeo!$B$36+0*Costeo!$C$36+$A60*Costeo!$D$36+0*Costeo!$E$36)&gt;5000,32-Costeo!$B$61,0))*Costeo!$B$51,2))))&gt;=0),$A60,1000000000)</f>
        <v>9</v>
      </c>
      <c r="E60" s="121">
        <f>IF(AND($A60*Costeo!$E$36&lt;=10000,(($A60)*$D$12-$B$4-((ROUND((MAX(0,(0*Costeo!$B$117+0*Costeo!$C$117+0*Costeo!$D$117+$A60*Costeo!$E$117)-100)*Costeo!$B$53+MAX(0,(0*Costeo!$B$118+0*Costeo!$C$118+0*Costeo!$D$118+$A60*Costeo!$E$118)-250)*Costeo!$B$52+(MAX(0,ROUNDUP(((0*Costeo!$B$116+0*Costeo!$C$116)+(0*Costeo!$D$116+$A60*Costeo!$E$116)*0.05)*2,0)-8)+(0*Costeo!$B$131+0*Costeo!$C$131+0*Costeo!$D$131+$A60*Costeo!$E$131))*Costeo!$B$54+IF((0*Costeo!$B$36+0*Costeo!$C$36)&lt;=2000,10,IF((0*Costeo!$B$36+0*Costeo!$C$36)&lt;=5000,15,IF((0*Costeo!$B$36+0*Costeo!$C$36)&lt;=10000,60,110)))-10)*Costeo!$B$51,2))+(ROUND((MAX(0,(0*Costeo!$B$130+0*Costeo!$C$130+0*Costeo!$D$130+$A60*Costeo!$E$130)+20*2*2*Costeo!$B$69+30*(1/3600*Costeo!$B$55+5/3600*Costeo!$B$56)-Costeo!$B$58)+IF(AND((0*Costeo!$B$120+0*Costeo!$C$120+0*Costeo!$D$120+$A60*Costeo!$E$120)&lt;=1000000,(0*Costeo!$B$119+0*Costeo!$C$119+0*Costeo!$D$119+$A60*Costeo!$E$119)&lt;=1000),0,IF((0*Costeo!$B$120+0*Costeo!$C$120+0*Costeo!$D$120+$A60*Costeo!$E$120)&lt;=10000000,20,IF((0*Costeo!$B$120+0*Costeo!$C$120+0*Costeo!$D$120+$A60*Costeo!$E$120)&lt;=50000000,100,300)))+MAX(0,ROUNDUP((0*Costeo!$B$36+0*Costeo!$C$36+0*Costeo!$D$36+$A60*Costeo!$E$36)/5000,0)-1)*Costeo!$B$62+IF((0*Costeo!$B$36+0*Costeo!$C$36+0*Costeo!$D$36+$A60*Costeo!$E$36)&gt;5000,32-Costeo!$B$61,0))*Costeo!$B$51,2))))&gt;=0),$A60,1000000000)</f>
        <v>9</v>
      </c>
    </row>
    <row r="61" hidden="1" outlineLevel="1" ht="30" customHeight="1" s="61">
      <c r="A61" s="52" t="n">
        <v>10</v>
      </c>
      <c r="B61" s="121">
        <f>IF(AND($A61*Costeo!$B$36&lt;=10000,(($A61)*$D$9-$B$4-((ROUND((MAX(0,($A61*Costeo!$B$117+0*Costeo!$C$117+0*Costeo!$D$117+0*Costeo!$E$117)-100)*Costeo!$B$53+MAX(0,($A61*Costeo!$B$118+0*Costeo!$C$118+0*Costeo!$D$118+0*Costeo!$E$118)-250)*Costeo!$B$52+(MAX(0,ROUNDUP((($A61*Costeo!$B$116+0*Costeo!$C$116)+(0*Costeo!$D$116+0*Costeo!$E$116)*0.05)*2,0)-8)+($A61*Costeo!$B$131+0*Costeo!$C$131+0*Costeo!$D$131+0*Costeo!$E$131))*Costeo!$B$54+IF(($A61*Costeo!$B$36+0*Costeo!$C$36)&lt;=2000,10,IF(($A61*Costeo!$B$36+0*Costeo!$C$36)&lt;=5000,15,IF(($A61*Costeo!$B$36+0*Costeo!$C$36)&lt;=10000,60,110)))-10)*Costeo!$B$51,2))+(ROUND((MAX(0,($A61*Costeo!$B$130+0*Costeo!$C$130+0*Costeo!$D$130+0*Costeo!$E$130)+20*2*2*Costeo!$B$69+30*(1/3600*Costeo!$B$55+5/3600*Costeo!$B$56)-Costeo!$B$58)+IF(AND(($A61*Costeo!$B$120+0*Costeo!$C$120+0*Costeo!$D$120+0*Costeo!$E$120)&lt;=1000000,($A61*Costeo!$B$119+0*Costeo!$C$119+0*Costeo!$D$119+0*Costeo!$E$119)&lt;=1000),0,IF(($A61*Costeo!$B$120+0*Costeo!$C$120+0*Costeo!$D$120+0*Costeo!$E$120)&lt;=10000000,20,IF(($A61*Costeo!$B$120+0*Costeo!$C$120+0*Costeo!$D$120+0*Costeo!$E$120)&lt;=50000000,100,300)))+MAX(0,ROUNDUP(($A61*Costeo!$B$36+0*Costeo!$C$36+0*Costeo!$D$36+0*Costeo!$E$36)/5000,0)-1)*Costeo!$B$62+IF(($A61*Costeo!$B$36+0*Costeo!$C$36+0*Costeo!$D$36+0*Costeo!$E$36)&gt;5000,32-Costeo!$B$61,0))*Costeo!$B$51,2))))&gt;=0),$A61,1000000000)</f>
        <v>10</v>
      </c>
      <c r="C61" s="121">
        <f>IF(AND($A61*Costeo!$C$36&lt;=10000,(($A61)*$D$10-$B$4-((ROUND((MAX(0,(0*Costeo!$B$117+$A61*Costeo!$C$117+0*Costeo!$D$117+0*Costeo!$E$117)-100)*Costeo!$B$53+MAX(0,(0*Costeo!$B$118+$A61*Costeo!$C$118+0*Costeo!$D$118+0*Costeo!$E$118)-250)*Costeo!$B$52+(MAX(0,ROUNDUP(((0*Costeo!$B$116+$A61*Costeo!$C$116)+(0*Costeo!$D$116+0*Costeo!$E$116)*0.05)*2,0)-8)+(0*Costeo!$B$131+$A61*Costeo!$C$131+0*Costeo!$D$131+0*Costeo!$E$131))*Costeo!$B$54+IF((0*Costeo!$B$36+$A61*Costeo!$C$36)&lt;=2000,10,IF((0*Costeo!$B$36+$A61*Costeo!$C$36)&lt;=5000,15,IF((0*Costeo!$B$36+$A61*Costeo!$C$36)&lt;=10000,60,110)))-10)*Costeo!$B$51,2))+(ROUND((MAX(0,(0*Costeo!$B$130+$A61*Costeo!$C$130+0*Costeo!$D$130+0*Costeo!$E$130)+20*2*2*Costeo!$B$69+30*(1/3600*Costeo!$B$55+5/3600*Costeo!$B$56)-Costeo!$B$58)+IF(AND((0*Costeo!$B$120+$A61*Costeo!$C$120+0*Costeo!$D$120+0*Costeo!$E$120)&lt;=1000000,(0*Costeo!$B$119+$A61*Costeo!$C$119+0*Costeo!$D$119+0*Costeo!$E$119)&lt;=1000),0,IF((0*Costeo!$B$120+$A61*Costeo!$C$120+0*Costeo!$D$120+0*Costeo!$E$120)&lt;=10000000,20,IF((0*Costeo!$B$120+$A61*Costeo!$C$120+0*Costeo!$D$120+0*Costeo!$E$120)&lt;=50000000,100,300)))+MAX(0,ROUNDUP((0*Costeo!$B$36+$A61*Costeo!$C$36+0*Costeo!$D$36+0*Costeo!$E$36)/5000,0)-1)*Costeo!$B$62+IF((0*Costeo!$B$36+$A61*Costeo!$C$36+0*Costeo!$D$36+0*Costeo!$E$36)&gt;5000,32-Costeo!$B$61,0))*Costeo!$B$51,2))))&gt;=0),$A61,1000000000)</f>
        <v>10</v>
      </c>
      <c r="D61" s="121">
        <f>IF(AND($A61*Costeo!$D$36&lt;=10000,(($A61)*$D$11-$B$4-((ROUND((MAX(0,(0*Costeo!$B$117+0*Costeo!$C$117+$A61*Costeo!$D$117+0*Costeo!$E$117)-100)*Costeo!$B$53+MAX(0,(0*Costeo!$B$118+0*Costeo!$C$118+$A61*Costeo!$D$118+0*Costeo!$E$118)-250)*Costeo!$B$52+(MAX(0,ROUNDUP(((0*Costeo!$B$116+0*Costeo!$C$116)+($A61*Costeo!$D$116+0*Costeo!$E$116)*0.05)*2,0)-8)+(0*Costeo!$B$131+0*Costeo!$C$131+$A61*Costeo!$D$131+0*Costeo!$E$131))*Costeo!$B$54+IF((0*Costeo!$B$36+0*Costeo!$C$36)&lt;=2000,10,IF((0*Costeo!$B$36+0*Costeo!$C$36)&lt;=5000,15,IF((0*Costeo!$B$36+0*Costeo!$C$36)&lt;=10000,60,110)))-10)*Costeo!$B$51,2))+(ROUND((MAX(0,(0*Costeo!$B$130+0*Costeo!$C$130+$A61*Costeo!$D$130+0*Costeo!$E$130)+20*2*2*Costeo!$B$69+30*(1/3600*Costeo!$B$55+5/3600*Costeo!$B$56)-Costeo!$B$58)+IF(AND((0*Costeo!$B$120+0*Costeo!$C$120+$A61*Costeo!$D$120+0*Costeo!$E$120)&lt;=1000000,(0*Costeo!$B$119+0*Costeo!$C$119+$A61*Costeo!$D$119+0*Costeo!$E$119)&lt;=1000),0,IF((0*Costeo!$B$120+0*Costeo!$C$120+$A61*Costeo!$D$120+0*Costeo!$E$120)&lt;=10000000,20,IF((0*Costeo!$B$120+0*Costeo!$C$120+$A61*Costeo!$D$120+0*Costeo!$E$120)&lt;=50000000,100,300)))+MAX(0,ROUNDUP((0*Costeo!$B$36+0*Costeo!$C$36+$A61*Costeo!$D$36+0*Costeo!$E$36)/5000,0)-1)*Costeo!$B$62+IF((0*Costeo!$B$36+0*Costeo!$C$36+$A61*Costeo!$D$36+0*Costeo!$E$36)&gt;5000,32-Costeo!$B$61,0))*Costeo!$B$51,2))))&gt;=0),$A61,1000000000)</f>
        <v>10</v>
      </c>
      <c r="E61" s="121">
        <f>IF(AND($A61*Costeo!$E$36&lt;=10000,(($A61)*$D$12-$B$4-((ROUND((MAX(0,(0*Costeo!$B$117+0*Costeo!$C$117+0*Costeo!$D$117+$A61*Costeo!$E$117)-100)*Costeo!$B$53+MAX(0,(0*Costeo!$B$118+0*Costeo!$C$118+0*Costeo!$D$118+$A61*Costeo!$E$118)-250)*Costeo!$B$52+(MAX(0,ROUNDUP(((0*Costeo!$B$116+0*Costeo!$C$116)+(0*Costeo!$D$116+$A61*Costeo!$E$116)*0.05)*2,0)-8)+(0*Costeo!$B$131+0*Costeo!$C$131+0*Costeo!$D$131+$A61*Costeo!$E$131))*Costeo!$B$54+IF((0*Costeo!$B$36+0*Costeo!$C$36)&lt;=2000,10,IF((0*Costeo!$B$36+0*Costeo!$C$36)&lt;=5000,15,IF((0*Costeo!$B$36+0*Costeo!$C$36)&lt;=10000,60,110)))-10)*Costeo!$B$51,2))+(ROUND((MAX(0,(0*Costeo!$B$130+0*Costeo!$C$130+0*Costeo!$D$130+$A61*Costeo!$E$130)+20*2*2*Costeo!$B$69+30*(1/3600*Costeo!$B$55+5/3600*Costeo!$B$56)-Costeo!$B$58)+IF(AND((0*Costeo!$B$120+0*Costeo!$C$120+0*Costeo!$D$120+$A61*Costeo!$E$120)&lt;=1000000,(0*Costeo!$B$119+0*Costeo!$C$119+0*Costeo!$D$119+$A61*Costeo!$E$119)&lt;=1000),0,IF((0*Costeo!$B$120+0*Costeo!$C$120+0*Costeo!$D$120+$A61*Costeo!$E$120)&lt;=10000000,20,IF((0*Costeo!$B$120+0*Costeo!$C$120+0*Costeo!$D$120+$A61*Costeo!$E$120)&lt;=50000000,100,300)))+MAX(0,ROUNDUP((0*Costeo!$B$36+0*Costeo!$C$36+0*Costeo!$D$36+$A61*Costeo!$E$36)/5000,0)-1)*Costeo!$B$62+IF((0*Costeo!$B$36+0*Costeo!$C$36+0*Costeo!$D$36+$A61*Costeo!$E$36)&gt;5000,32-Costeo!$B$61,0))*Costeo!$B$51,2))))&gt;=0),$A61,1000000000)</f>
        <v>10</v>
      </c>
    </row>
    <row r="62" hidden="1" outlineLevel="1" ht="30" customHeight="1" s="61">
      <c r="A62" s="52" t="n">
        <v>11</v>
      </c>
      <c r="B62" s="121">
        <f>IF(AND($A62*Costeo!$B$36&lt;=10000,(($A62)*$D$9-$B$4-((ROUND((MAX(0,($A62*Costeo!$B$117+0*Costeo!$C$117+0*Costeo!$D$117+0*Costeo!$E$117)-100)*Costeo!$B$53+MAX(0,($A62*Costeo!$B$118+0*Costeo!$C$118+0*Costeo!$D$118+0*Costeo!$E$118)-250)*Costeo!$B$52+(MAX(0,ROUNDUP((($A62*Costeo!$B$116+0*Costeo!$C$116)+(0*Costeo!$D$116+0*Costeo!$E$116)*0.05)*2,0)-8)+($A62*Costeo!$B$131+0*Costeo!$C$131+0*Costeo!$D$131+0*Costeo!$E$131))*Costeo!$B$54+IF(($A62*Costeo!$B$36+0*Costeo!$C$36)&lt;=2000,10,IF(($A62*Costeo!$B$36+0*Costeo!$C$36)&lt;=5000,15,IF(($A62*Costeo!$B$36+0*Costeo!$C$36)&lt;=10000,60,110)))-10)*Costeo!$B$51,2))+(ROUND((MAX(0,($A62*Costeo!$B$130+0*Costeo!$C$130+0*Costeo!$D$130+0*Costeo!$E$130)+20*2*2*Costeo!$B$69+30*(1/3600*Costeo!$B$55+5/3600*Costeo!$B$56)-Costeo!$B$58)+IF(AND(($A62*Costeo!$B$120+0*Costeo!$C$120+0*Costeo!$D$120+0*Costeo!$E$120)&lt;=1000000,($A62*Costeo!$B$119+0*Costeo!$C$119+0*Costeo!$D$119+0*Costeo!$E$119)&lt;=1000),0,IF(($A62*Costeo!$B$120+0*Costeo!$C$120+0*Costeo!$D$120+0*Costeo!$E$120)&lt;=10000000,20,IF(($A62*Costeo!$B$120+0*Costeo!$C$120+0*Costeo!$D$120+0*Costeo!$E$120)&lt;=50000000,100,300)))+MAX(0,ROUNDUP(($A62*Costeo!$B$36+0*Costeo!$C$36+0*Costeo!$D$36+0*Costeo!$E$36)/5000,0)-1)*Costeo!$B$62+IF(($A62*Costeo!$B$36+0*Costeo!$C$36+0*Costeo!$D$36+0*Costeo!$E$36)&gt;5000,32-Costeo!$B$61,0))*Costeo!$B$51,2))))&gt;=0),$A62,1000000000)</f>
        <v>11</v>
      </c>
      <c r="C62" s="121">
        <f>IF(AND($A62*Costeo!$C$36&lt;=10000,(($A62)*$D$10-$B$4-((ROUND((MAX(0,(0*Costeo!$B$117+$A62*Costeo!$C$117+0*Costeo!$D$117+0*Costeo!$E$117)-100)*Costeo!$B$53+MAX(0,(0*Costeo!$B$118+$A62*Costeo!$C$118+0*Costeo!$D$118+0*Costeo!$E$118)-250)*Costeo!$B$52+(MAX(0,ROUNDUP(((0*Costeo!$B$116+$A62*Costeo!$C$116)+(0*Costeo!$D$116+0*Costeo!$E$116)*0.05)*2,0)-8)+(0*Costeo!$B$131+$A62*Costeo!$C$131+0*Costeo!$D$131+0*Costeo!$E$131))*Costeo!$B$54+IF((0*Costeo!$B$36+$A62*Costeo!$C$36)&lt;=2000,10,IF((0*Costeo!$B$36+$A62*Costeo!$C$36)&lt;=5000,15,IF((0*Costeo!$B$36+$A62*Costeo!$C$36)&lt;=10000,60,110)))-10)*Costeo!$B$51,2))+(ROUND((MAX(0,(0*Costeo!$B$130+$A62*Costeo!$C$130+0*Costeo!$D$130+0*Costeo!$E$130)+20*2*2*Costeo!$B$69+30*(1/3600*Costeo!$B$55+5/3600*Costeo!$B$56)-Costeo!$B$58)+IF(AND((0*Costeo!$B$120+$A62*Costeo!$C$120+0*Costeo!$D$120+0*Costeo!$E$120)&lt;=1000000,(0*Costeo!$B$119+$A62*Costeo!$C$119+0*Costeo!$D$119+0*Costeo!$E$119)&lt;=1000),0,IF((0*Costeo!$B$120+$A62*Costeo!$C$120+0*Costeo!$D$120+0*Costeo!$E$120)&lt;=10000000,20,IF((0*Costeo!$B$120+$A62*Costeo!$C$120+0*Costeo!$D$120+0*Costeo!$E$120)&lt;=50000000,100,300)))+MAX(0,ROUNDUP((0*Costeo!$B$36+$A62*Costeo!$C$36+0*Costeo!$D$36+0*Costeo!$E$36)/5000,0)-1)*Costeo!$B$62+IF((0*Costeo!$B$36+$A62*Costeo!$C$36+0*Costeo!$D$36+0*Costeo!$E$36)&gt;5000,32-Costeo!$B$61,0))*Costeo!$B$51,2))))&gt;=0),$A62,1000000000)</f>
        <v>11</v>
      </c>
      <c r="D62" s="121">
        <f>IF(AND($A62*Costeo!$D$36&lt;=10000,(($A62)*$D$11-$B$4-((ROUND((MAX(0,(0*Costeo!$B$117+0*Costeo!$C$117+$A62*Costeo!$D$117+0*Costeo!$E$117)-100)*Costeo!$B$53+MAX(0,(0*Costeo!$B$118+0*Costeo!$C$118+$A62*Costeo!$D$118+0*Costeo!$E$118)-250)*Costeo!$B$52+(MAX(0,ROUNDUP(((0*Costeo!$B$116+0*Costeo!$C$116)+($A62*Costeo!$D$116+0*Costeo!$E$116)*0.05)*2,0)-8)+(0*Costeo!$B$131+0*Costeo!$C$131+$A62*Costeo!$D$131+0*Costeo!$E$131))*Costeo!$B$54+IF((0*Costeo!$B$36+0*Costeo!$C$36)&lt;=2000,10,IF((0*Costeo!$B$36+0*Costeo!$C$36)&lt;=5000,15,IF((0*Costeo!$B$36+0*Costeo!$C$36)&lt;=10000,60,110)))-10)*Costeo!$B$51,2))+(ROUND((MAX(0,(0*Costeo!$B$130+0*Costeo!$C$130+$A62*Costeo!$D$130+0*Costeo!$E$130)+20*2*2*Costeo!$B$69+30*(1/3600*Costeo!$B$55+5/3600*Costeo!$B$56)-Costeo!$B$58)+IF(AND((0*Costeo!$B$120+0*Costeo!$C$120+$A62*Costeo!$D$120+0*Costeo!$E$120)&lt;=1000000,(0*Costeo!$B$119+0*Costeo!$C$119+$A62*Costeo!$D$119+0*Costeo!$E$119)&lt;=1000),0,IF((0*Costeo!$B$120+0*Costeo!$C$120+$A62*Costeo!$D$120+0*Costeo!$E$120)&lt;=10000000,20,IF((0*Costeo!$B$120+0*Costeo!$C$120+$A62*Costeo!$D$120+0*Costeo!$E$120)&lt;=50000000,100,300)))+MAX(0,ROUNDUP((0*Costeo!$B$36+0*Costeo!$C$36+$A62*Costeo!$D$36+0*Costeo!$E$36)/5000,0)-1)*Costeo!$B$62+IF((0*Costeo!$B$36+0*Costeo!$C$36+$A62*Costeo!$D$36+0*Costeo!$E$36)&gt;5000,32-Costeo!$B$61,0))*Costeo!$B$51,2))))&gt;=0),$A62,1000000000)</f>
        <v>11</v>
      </c>
      <c r="E62" s="121">
        <f>IF(AND($A62*Costeo!$E$36&lt;=10000,(($A62)*$D$12-$B$4-((ROUND((MAX(0,(0*Costeo!$B$117+0*Costeo!$C$117+0*Costeo!$D$117+$A62*Costeo!$E$117)-100)*Costeo!$B$53+MAX(0,(0*Costeo!$B$118+0*Costeo!$C$118+0*Costeo!$D$118+$A62*Costeo!$E$118)-250)*Costeo!$B$52+(MAX(0,ROUNDUP(((0*Costeo!$B$116+0*Costeo!$C$116)+(0*Costeo!$D$116+$A62*Costeo!$E$116)*0.05)*2,0)-8)+(0*Costeo!$B$131+0*Costeo!$C$131+0*Costeo!$D$131+$A62*Costeo!$E$131))*Costeo!$B$54+IF((0*Costeo!$B$36+0*Costeo!$C$36)&lt;=2000,10,IF((0*Costeo!$B$36+0*Costeo!$C$36)&lt;=5000,15,IF((0*Costeo!$B$36+0*Costeo!$C$36)&lt;=10000,60,110)))-10)*Costeo!$B$51,2))+(ROUND((MAX(0,(0*Costeo!$B$130+0*Costeo!$C$130+0*Costeo!$D$130+$A62*Costeo!$E$130)+20*2*2*Costeo!$B$69+30*(1/3600*Costeo!$B$55+5/3600*Costeo!$B$56)-Costeo!$B$58)+IF(AND((0*Costeo!$B$120+0*Costeo!$C$120+0*Costeo!$D$120+$A62*Costeo!$E$120)&lt;=1000000,(0*Costeo!$B$119+0*Costeo!$C$119+0*Costeo!$D$119+$A62*Costeo!$E$119)&lt;=1000),0,IF((0*Costeo!$B$120+0*Costeo!$C$120+0*Costeo!$D$120+$A62*Costeo!$E$120)&lt;=10000000,20,IF((0*Costeo!$B$120+0*Costeo!$C$120+0*Costeo!$D$120+$A62*Costeo!$E$120)&lt;=50000000,100,300)))+MAX(0,ROUNDUP((0*Costeo!$B$36+0*Costeo!$C$36+0*Costeo!$D$36+$A62*Costeo!$E$36)/5000,0)-1)*Costeo!$B$62+IF((0*Costeo!$B$36+0*Costeo!$C$36+0*Costeo!$D$36+$A62*Costeo!$E$36)&gt;5000,32-Costeo!$B$61,0))*Costeo!$B$51,2))))&gt;=0),$A62,1000000000)</f>
        <v>1000000000</v>
      </c>
    </row>
    <row r="63" hidden="1" outlineLevel="1" ht="30" customHeight="1" s="61">
      <c r="A63" s="52" t="n">
        <v>12</v>
      </c>
      <c r="B63" s="121">
        <f>IF(AND($A63*Costeo!$B$36&lt;=10000,(($A63)*$D$9-$B$4-((ROUND((MAX(0,($A63*Costeo!$B$117+0*Costeo!$C$117+0*Costeo!$D$117+0*Costeo!$E$117)-100)*Costeo!$B$53+MAX(0,($A63*Costeo!$B$118+0*Costeo!$C$118+0*Costeo!$D$118+0*Costeo!$E$118)-250)*Costeo!$B$52+(MAX(0,ROUNDUP((($A63*Costeo!$B$116+0*Costeo!$C$116)+(0*Costeo!$D$116+0*Costeo!$E$116)*0.05)*2,0)-8)+($A63*Costeo!$B$131+0*Costeo!$C$131+0*Costeo!$D$131+0*Costeo!$E$131))*Costeo!$B$54+IF(($A63*Costeo!$B$36+0*Costeo!$C$36)&lt;=2000,10,IF(($A63*Costeo!$B$36+0*Costeo!$C$36)&lt;=5000,15,IF(($A63*Costeo!$B$36+0*Costeo!$C$36)&lt;=10000,60,110)))-10)*Costeo!$B$51,2))+(ROUND((MAX(0,($A63*Costeo!$B$130+0*Costeo!$C$130+0*Costeo!$D$130+0*Costeo!$E$130)+20*2*2*Costeo!$B$69+30*(1/3600*Costeo!$B$55+5/3600*Costeo!$B$56)-Costeo!$B$58)+IF(AND(($A63*Costeo!$B$120+0*Costeo!$C$120+0*Costeo!$D$120+0*Costeo!$E$120)&lt;=1000000,($A63*Costeo!$B$119+0*Costeo!$C$119+0*Costeo!$D$119+0*Costeo!$E$119)&lt;=1000),0,IF(($A63*Costeo!$B$120+0*Costeo!$C$120+0*Costeo!$D$120+0*Costeo!$E$120)&lt;=10000000,20,IF(($A63*Costeo!$B$120+0*Costeo!$C$120+0*Costeo!$D$120+0*Costeo!$E$120)&lt;=50000000,100,300)))+MAX(0,ROUNDUP(($A63*Costeo!$B$36+0*Costeo!$C$36+0*Costeo!$D$36+0*Costeo!$E$36)/5000,0)-1)*Costeo!$B$62+IF(($A63*Costeo!$B$36+0*Costeo!$C$36+0*Costeo!$D$36+0*Costeo!$E$36)&gt;5000,32-Costeo!$B$61,0))*Costeo!$B$51,2))))&gt;=0),$A63,1000000000)</f>
        <v>12</v>
      </c>
      <c r="C63" s="121">
        <f>IF(AND($A63*Costeo!$C$36&lt;=10000,(($A63)*$D$10-$B$4-((ROUND((MAX(0,(0*Costeo!$B$117+$A63*Costeo!$C$117+0*Costeo!$D$117+0*Costeo!$E$117)-100)*Costeo!$B$53+MAX(0,(0*Costeo!$B$118+$A63*Costeo!$C$118+0*Costeo!$D$118+0*Costeo!$E$118)-250)*Costeo!$B$52+(MAX(0,ROUNDUP(((0*Costeo!$B$116+$A63*Costeo!$C$116)+(0*Costeo!$D$116+0*Costeo!$E$116)*0.05)*2,0)-8)+(0*Costeo!$B$131+$A63*Costeo!$C$131+0*Costeo!$D$131+0*Costeo!$E$131))*Costeo!$B$54+IF((0*Costeo!$B$36+$A63*Costeo!$C$36)&lt;=2000,10,IF((0*Costeo!$B$36+$A63*Costeo!$C$36)&lt;=5000,15,IF((0*Costeo!$B$36+$A63*Costeo!$C$36)&lt;=10000,60,110)))-10)*Costeo!$B$51,2))+(ROUND((MAX(0,(0*Costeo!$B$130+$A63*Costeo!$C$130+0*Costeo!$D$130+0*Costeo!$E$130)+20*2*2*Costeo!$B$69+30*(1/3600*Costeo!$B$55+5/3600*Costeo!$B$56)-Costeo!$B$58)+IF(AND((0*Costeo!$B$120+$A63*Costeo!$C$120+0*Costeo!$D$120+0*Costeo!$E$120)&lt;=1000000,(0*Costeo!$B$119+$A63*Costeo!$C$119+0*Costeo!$D$119+0*Costeo!$E$119)&lt;=1000),0,IF((0*Costeo!$B$120+$A63*Costeo!$C$120+0*Costeo!$D$120+0*Costeo!$E$120)&lt;=10000000,20,IF((0*Costeo!$B$120+$A63*Costeo!$C$120+0*Costeo!$D$120+0*Costeo!$E$120)&lt;=50000000,100,300)))+MAX(0,ROUNDUP((0*Costeo!$B$36+$A63*Costeo!$C$36+0*Costeo!$D$36+0*Costeo!$E$36)/5000,0)-1)*Costeo!$B$62+IF((0*Costeo!$B$36+$A63*Costeo!$C$36+0*Costeo!$D$36+0*Costeo!$E$36)&gt;5000,32-Costeo!$B$61,0))*Costeo!$B$51,2))))&gt;=0),$A63,1000000000)</f>
        <v>12</v>
      </c>
      <c r="D63" s="121">
        <f>IF(AND($A63*Costeo!$D$36&lt;=10000,(($A63)*$D$11-$B$4-((ROUND((MAX(0,(0*Costeo!$B$117+0*Costeo!$C$117+$A63*Costeo!$D$117+0*Costeo!$E$117)-100)*Costeo!$B$53+MAX(0,(0*Costeo!$B$118+0*Costeo!$C$118+$A63*Costeo!$D$118+0*Costeo!$E$118)-250)*Costeo!$B$52+(MAX(0,ROUNDUP(((0*Costeo!$B$116+0*Costeo!$C$116)+($A63*Costeo!$D$116+0*Costeo!$E$116)*0.05)*2,0)-8)+(0*Costeo!$B$131+0*Costeo!$C$131+$A63*Costeo!$D$131+0*Costeo!$E$131))*Costeo!$B$54+IF((0*Costeo!$B$36+0*Costeo!$C$36)&lt;=2000,10,IF((0*Costeo!$B$36+0*Costeo!$C$36)&lt;=5000,15,IF((0*Costeo!$B$36+0*Costeo!$C$36)&lt;=10000,60,110)))-10)*Costeo!$B$51,2))+(ROUND((MAX(0,(0*Costeo!$B$130+0*Costeo!$C$130+$A63*Costeo!$D$130+0*Costeo!$E$130)+20*2*2*Costeo!$B$69+30*(1/3600*Costeo!$B$55+5/3600*Costeo!$B$56)-Costeo!$B$58)+IF(AND((0*Costeo!$B$120+0*Costeo!$C$120+$A63*Costeo!$D$120+0*Costeo!$E$120)&lt;=1000000,(0*Costeo!$B$119+0*Costeo!$C$119+$A63*Costeo!$D$119+0*Costeo!$E$119)&lt;=1000),0,IF((0*Costeo!$B$120+0*Costeo!$C$120+$A63*Costeo!$D$120+0*Costeo!$E$120)&lt;=10000000,20,IF((0*Costeo!$B$120+0*Costeo!$C$120+$A63*Costeo!$D$120+0*Costeo!$E$120)&lt;=50000000,100,300)))+MAX(0,ROUNDUP((0*Costeo!$B$36+0*Costeo!$C$36+$A63*Costeo!$D$36+0*Costeo!$E$36)/5000,0)-1)*Costeo!$B$62+IF((0*Costeo!$B$36+0*Costeo!$C$36+$A63*Costeo!$D$36+0*Costeo!$E$36)&gt;5000,32-Costeo!$B$61,0))*Costeo!$B$51,2))))&gt;=0),$A63,1000000000)</f>
        <v>12</v>
      </c>
      <c r="E63" s="121">
        <f>IF(AND($A63*Costeo!$E$36&lt;=10000,(($A63)*$D$12-$B$4-((ROUND((MAX(0,(0*Costeo!$B$117+0*Costeo!$C$117+0*Costeo!$D$117+$A63*Costeo!$E$117)-100)*Costeo!$B$53+MAX(0,(0*Costeo!$B$118+0*Costeo!$C$118+0*Costeo!$D$118+$A63*Costeo!$E$118)-250)*Costeo!$B$52+(MAX(0,ROUNDUP(((0*Costeo!$B$116+0*Costeo!$C$116)+(0*Costeo!$D$116+$A63*Costeo!$E$116)*0.05)*2,0)-8)+(0*Costeo!$B$131+0*Costeo!$C$131+0*Costeo!$D$131+$A63*Costeo!$E$131))*Costeo!$B$54+IF((0*Costeo!$B$36+0*Costeo!$C$36)&lt;=2000,10,IF((0*Costeo!$B$36+0*Costeo!$C$36)&lt;=5000,15,IF((0*Costeo!$B$36+0*Costeo!$C$36)&lt;=10000,60,110)))-10)*Costeo!$B$51,2))+(ROUND((MAX(0,(0*Costeo!$B$130+0*Costeo!$C$130+0*Costeo!$D$130+$A63*Costeo!$E$130)+20*2*2*Costeo!$B$69+30*(1/3600*Costeo!$B$55+5/3600*Costeo!$B$56)-Costeo!$B$58)+IF(AND((0*Costeo!$B$120+0*Costeo!$C$120+0*Costeo!$D$120+$A63*Costeo!$E$120)&lt;=1000000,(0*Costeo!$B$119+0*Costeo!$C$119+0*Costeo!$D$119+$A63*Costeo!$E$119)&lt;=1000),0,IF((0*Costeo!$B$120+0*Costeo!$C$120+0*Costeo!$D$120+$A63*Costeo!$E$120)&lt;=10000000,20,IF((0*Costeo!$B$120+0*Costeo!$C$120+0*Costeo!$D$120+$A63*Costeo!$E$120)&lt;=50000000,100,300)))+MAX(0,ROUNDUP((0*Costeo!$B$36+0*Costeo!$C$36+0*Costeo!$D$36+$A63*Costeo!$E$36)/5000,0)-1)*Costeo!$B$62+IF((0*Costeo!$B$36+0*Costeo!$C$36+0*Costeo!$D$36+$A63*Costeo!$E$36)&gt;5000,32-Costeo!$B$61,0))*Costeo!$B$51,2))))&gt;=0),$A63,1000000000)</f>
        <v>1000000000</v>
      </c>
    </row>
    <row r="64" hidden="1" outlineLevel="1" ht="30" customHeight="1" s="61">
      <c r="A64" s="52" t="n">
        <v>13</v>
      </c>
      <c r="B64" s="121">
        <f>IF(AND($A64*Costeo!$B$36&lt;=10000,(($A64)*$D$9-$B$4-((ROUND((MAX(0,($A64*Costeo!$B$117+0*Costeo!$C$117+0*Costeo!$D$117+0*Costeo!$E$117)-100)*Costeo!$B$53+MAX(0,($A64*Costeo!$B$118+0*Costeo!$C$118+0*Costeo!$D$118+0*Costeo!$E$118)-250)*Costeo!$B$52+(MAX(0,ROUNDUP((($A64*Costeo!$B$116+0*Costeo!$C$116)+(0*Costeo!$D$116+0*Costeo!$E$116)*0.05)*2,0)-8)+($A64*Costeo!$B$131+0*Costeo!$C$131+0*Costeo!$D$131+0*Costeo!$E$131))*Costeo!$B$54+IF(($A64*Costeo!$B$36+0*Costeo!$C$36)&lt;=2000,10,IF(($A64*Costeo!$B$36+0*Costeo!$C$36)&lt;=5000,15,IF(($A64*Costeo!$B$36+0*Costeo!$C$36)&lt;=10000,60,110)))-10)*Costeo!$B$51,2))+(ROUND((MAX(0,($A64*Costeo!$B$130+0*Costeo!$C$130+0*Costeo!$D$130+0*Costeo!$E$130)+20*2*2*Costeo!$B$69+30*(1/3600*Costeo!$B$55+5/3600*Costeo!$B$56)-Costeo!$B$58)+IF(AND(($A64*Costeo!$B$120+0*Costeo!$C$120+0*Costeo!$D$120+0*Costeo!$E$120)&lt;=1000000,($A64*Costeo!$B$119+0*Costeo!$C$119+0*Costeo!$D$119+0*Costeo!$E$119)&lt;=1000),0,IF(($A64*Costeo!$B$120+0*Costeo!$C$120+0*Costeo!$D$120+0*Costeo!$E$120)&lt;=10000000,20,IF(($A64*Costeo!$B$120+0*Costeo!$C$120+0*Costeo!$D$120+0*Costeo!$E$120)&lt;=50000000,100,300)))+MAX(0,ROUNDUP(($A64*Costeo!$B$36+0*Costeo!$C$36+0*Costeo!$D$36+0*Costeo!$E$36)/5000,0)-1)*Costeo!$B$62+IF(($A64*Costeo!$B$36+0*Costeo!$C$36+0*Costeo!$D$36+0*Costeo!$E$36)&gt;5000,32-Costeo!$B$61,0))*Costeo!$B$51,2))))&gt;=0),$A64,1000000000)</f>
        <v>13</v>
      </c>
      <c r="C64" s="121">
        <f>IF(AND($A64*Costeo!$C$36&lt;=10000,(($A64)*$D$10-$B$4-((ROUND((MAX(0,(0*Costeo!$B$117+$A64*Costeo!$C$117+0*Costeo!$D$117+0*Costeo!$E$117)-100)*Costeo!$B$53+MAX(0,(0*Costeo!$B$118+$A64*Costeo!$C$118+0*Costeo!$D$118+0*Costeo!$E$118)-250)*Costeo!$B$52+(MAX(0,ROUNDUP(((0*Costeo!$B$116+$A64*Costeo!$C$116)+(0*Costeo!$D$116+0*Costeo!$E$116)*0.05)*2,0)-8)+(0*Costeo!$B$131+$A64*Costeo!$C$131+0*Costeo!$D$131+0*Costeo!$E$131))*Costeo!$B$54+IF((0*Costeo!$B$36+$A64*Costeo!$C$36)&lt;=2000,10,IF((0*Costeo!$B$36+$A64*Costeo!$C$36)&lt;=5000,15,IF((0*Costeo!$B$36+$A64*Costeo!$C$36)&lt;=10000,60,110)))-10)*Costeo!$B$51,2))+(ROUND((MAX(0,(0*Costeo!$B$130+$A64*Costeo!$C$130+0*Costeo!$D$130+0*Costeo!$E$130)+20*2*2*Costeo!$B$69+30*(1/3600*Costeo!$B$55+5/3600*Costeo!$B$56)-Costeo!$B$58)+IF(AND((0*Costeo!$B$120+$A64*Costeo!$C$120+0*Costeo!$D$120+0*Costeo!$E$120)&lt;=1000000,(0*Costeo!$B$119+$A64*Costeo!$C$119+0*Costeo!$D$119+0*Costeo!$E$119)&lt;=1000),0,IF((0*Costeo!$B$120+$A64*Costeo!$C$120+0*Costeo!$D$120+0*Costeo!$E$120)&lt;=10000000,20,IF((0*Costeo!$B$120+$A64*Costeo!$C$120+0*Costeo!$D$120+0*Costeo!$E$120)&lt;=50000000,100,300)))+MAX(0,ROUNDUP((0*Costeo!$B$36+$A64*Costeo!$C$36+0*Costeo!$D$36+0*Costeo!$E$36)/5000,0)-1)*Costeo!$B$62+IF((0*Costeo!$B$36+$A64*Costeo!$C$36+0*Costeo!$D$36+0*Costeo!$E$36)&gt;5000,32-Costeo!$B$61,0))*Costeo!$B$51,2))))&gt;=0),$A64,1000000000)</f>
        <v>13</v>
      </c>
      <c r="D64" s="121">
        <f>IF(AND($A64*Costeo!$D$36&lt;=10000,(($A64)*$D$11-$B$4-((ROUND((MAX(0,(0*Costeo!$B$117+0*Costeo!$C$117+$A64*Costeo!$D$117+0*Costeo!$E$117)-100)*Costeo!$B$53+MAX(0,(0*Costeo!$B$118+0*Costeo!$C$118+$A64*Costeo!$D$118+0*Costeo!$E$118)-250)*Costeo!$B$52+(MAX(0,ROUNDUP(((0*Costeo!$B$116+0*Costeo!$C$116)+($A64*Costeo!$D$116+0*Costeo!$E$116)*0.05)*2,0)-8)+(0*Costeo!$B$131+0*Costeo!$C$131+$A64*Costeo!$D$131+0*Costeo!$E$131))*Costeo!$B$54+IF((0*Costeo!$B$36+0*Costeo!$C$36)&lt;=2000,10,IF((0*Costeo!$B$36+0*Costeo!$C$36)&lt;=5000,15,IF((0*Costeo!$B$36+0*Costeo!$C$36)&lt;=10000,60,110)))-10)*Costeo!$B$51,2))+(ROUND((MAX(0,(0*Costeo!$B$130+0*Costeo!$C$130+$A64*Costeo!$D$130+0*Costeo!$E$130)+20*2*2*Costeo!$B$69+30*(1/3600*Costeo!$B$55+5/3600*Costeo!$B$56)-Costeo!$B$58)+IF(AND((0*Costeo!$B$120+0*Costeo!$C$120+$A64*Costeo!$D$120+0*Costeo!$E$120)&lt;=1000000,(0*Costeo!$B$119+0*Costeo!$C$119+$A64*Costeo!$D$119+0*Costeo!$E$119)&lt;=1000),0,IF((0*Costeo!$B$120+0*Costeo!$C$120+$A64*Costeo!$D$120+0*Costeo!$E$120)&lt;=10000000,20,IF((0*Costeo!$B$120+0*Costeo!$C$120+$A64*Costeo!$D$120+0*Costeo!$E$120)&lt;=50000000,100,300)))+MAX(0,ROUNDUP((0*Costeo!$B$36+0*Costeo!$C$36+$A64*Costeo!$D$36+0*Costeo!$E$36)/5000,0)-1)*Costeo!$B$62+IF((0*Costeo!$B$36+0*Costeo!$C$36+$A64*Costeo!$D$36+0*Costeo!$E$36)&gt;5000,32-Costeo!$B$61,0))*Costeo!$B$51,2))))&gt;=0),$A64,1000000000)</f>
        <v>13</v>
      </c>
      <c r="E64" s="121">
        <f>IF(AND($A64*Costeo!$E$36&lt;=10000,(($A64)*$D$12-$B$4-((ROUND((MAX(0,(0*Costeo!$B$117+0*Costeo!$C$117+0*Costeo!$D$117+$A64*Costeo!$E$117)-100)*Costeo!$B$53+MAX(0,(0*Costeo!$B$118+0*Costeo!$C$118+0*Costeo!$D$118+$A64*Costeo!$E$118)-250)*Costeo!$B$52+(MAX(0,ROUNDUP(((0*Costeo!$B$116+0*Costeo!$C$116)+(0*Costeo!$D$116+$A64*Costeo!$E$116)*0.05)*2,0)-8)+(0*Costeo!$B$131+0*Costeo!$C$131+0*Costeo!$D$131+$A64*Costeo!$E$131))*Costeo!$B$54+IF((0*Costeo!$B$36+0*Costeo!$C$36)&lt;=2000,10,IF((0*Costeo!$B$36+0*Costeo!$C$36)&lt;=5000,15,IF((0*Costeo!$B$36+0*Costeo!$C$36)&lt;=10000,60,110)))-10)*Costeo!$B$51,2))+(ROUND((MAX(0,(0*Costeo!$B$130+0*Costeo!$C$130+0*Costeo!$D$130+$A64*Costeo!$E$130)+20*2*2*Costeo!$B$69+30*(1/3600*Costeo!$B$55+5/3600*Costeo!$B$56)-Costeo!$B$58)+IF(AND((0*Costeo!$B$120+0*Costeo!$C$120+0*Costeo!$D$120+$A64*Costeo!$E$120)&lt;=1000000,(0*Costeo!$B$119+0*Costeo!$C$119+0*Costeo!$D$119+$A64*Costeo!$E$119)&lt;=1000),0,IF((0*Costeo!$B$120+0*Costeo!$C$120+0*Costeo!$D$120+$A64*Costeo!$E$120)&lt;=10000000,20,IF((0*Costeo!$B$120+0*Costeo!$C$120+0*Costeo!$D$120+$A64*Costeo!$E$120)&lt;=50000000,100,300)))+MAX(0,ROUNDUP((0*Costeo!$B$36+0*Costeo!$C$36+0*Costeo!$D$36+$A64*Costeo!$E$36)/5000,0)-1)*Costeo!$B$62+IF((0*Costeo!$B$36+0*Costeo!$C$36+0*Costeo!$D$36+$A64*Costeo!$E$36)&gt;5000,32-Costeo!$B$61,0))*Costeo!$B$51,2))))&gt;=0),$A64,1000000000)</f>
        <v>1000000000</v>
      </c>
    </row>
    <row r="65" hidden="1" outlineLevel="1" ht="30" customHeight="1" s="61">
      <c r="A65" s="52" t="n">
        <v>14</v>
      </c>
      <c r="B65" s="121">
        <f>IF(AND($A65*Costeo!$B$36&lt;=10000,(($A65)*$D$9-$B$4-((ROUND((MAX(0,($A65*Costeo!$B$117+0*Costeo!$C$117+0*Costeo!$D$117+0*Costeo!$E$117)-100)*Costeo!$B$53+MAX(0,($A65*Costeo!$B$118+0*Costeo!$C$118+0*Costeo!$D$118+0*Costeo!$E$118)-250)*Costeo!$B$52+(MAX(0,ROUNDUP((($A65*Costeo!$B$116+0*Costeo!$C$116)+(0*Costeo!$D$116+0*Costeo!$E$116)*0.05)*2,0)-8)+($A65*Costeo!$B$131+0*Costeo!$C$131+0*Costeo!$D$131+0*Costeo!$E$131))*Costeo!$B$54+IF(($A65*Costeo!$B$36+0*Costeo!$C$36)&lt;=2000,10,IF(($A65*Costeo!$B$36+0*Costeo!$C$36)&lt;=5000,15,IF(($A65*Costeo!$B$36+0*Costeo!$C$36)&lt;=10000,60,110)))-10)*Costeo!$B$51,2))+(ROUND((MAX(0,($A65*Costeo!$B$130+0*Costeo!$C$130+0*Costeo!$D$130+0*Costeo!$E$130)+20*2*2*Costeo!$B$69+30*(1/3600*Costeo!$B$55+5/3600*Costeo!$B$56)-Costeo!$B$58)+IF(AND(($A65*Costeo!$B$120+0*Costeo!$C$120+0*Costeo!$D$120+0*Costeo!$E$120)&lt;=1000000,($A65*Costeo!$B$119+0*Costeo!$C$119+0*Costeo!$D$119+0*Costeo!$E$119)&lt;=1000),0,IF(($A65*Costeo!$B$120+0*Costeo!$C$120+0*Costeo!$D$120+0*Costeo!$E$120)&lt;=10000000,20,IF(($A65*Costeo!$B$120+0*Costeo!$C$120+0*Costeo!$D$120+0*Costeo!$E$120)&lt;=50000000,100,300)))+MAX(0,ROUNDUP(($A65*Costeo!$B$36+0*Costeo!$C$36+0*Costeo!$D$36+0*Costeo!$E$36)/5000,0)-1)*Costeo!$B$62+IF(($A65*Costeo!$B$36+0*Costeo!$C$36+0*Costeo!$D$36+0*Costeo!$E$36)&gt;5000,32-Costeo!$B$61,0))*Costeo!$B$51,2))))&gt;=0),$A65,1000000000)</f>
        <v>14</v>
      </c>
      <c r="C65" s="121">
        <f>IF(AND($A65*Costeo!$C$36&lt;=10000,(($A65)*$D$10-$B$4-((ROUND((MAX(0,(0*Costeo!$B$117+$A65*Costeo!$C$117+0*Costeo!$D$117+0*Costeo!$E$117)-100)*Costeo!$B$53+MAX(0,(0*Costeo!$B$118+$A65*Costeo!$C$118+0*Costeo!$D$118+0*Costeo!$E$118)-250)*Costeo!$B$52+(MAX(0,ROUNDUP(((0*Costeo!$B$116+$A65*Costeo!$C$116)+(0*Costeo!$D$116+0*Costeo!$E$116)*0.05)*2,0)-8)+(0*Costeo!$B$131+$A65*Costeo!$C$131+0*Costeo!$D$131+0*Costeo!$E$131))*Costeo!$B$54+IF((0*Costeo!$B$36+$A65*Costeo!$C$36)&lt;=2000,10,IF((0*Costeo!$B$36+$A65*Costeo!$C$36)&lt;=5000,15,IF((0*Costeo!$B$36+$A65*Costeo!$C$36)&lt;=10000,60,110)))-10)*Costeo!$B$51,2))+(ROUND((MAX(0,(0*Costeo!$B$130+$A65*Costeo!$C$130+0*Costeo!$D$130+0*Costeo!$E$130)+20*2*2*Costeo!$B$69+30*(1/3600*Costeo!$B$55+5/3600*Costeo!$B$56)-Costeo!$B$58)+IF(AND((0*Costeo!$B$120+$A65*Costeo!$C$120+0*Costeo!$D$120+0*Costeo!$E$120)&lt;=1000000,(0*Costeo!$B$119+$A65*Costeo!$C$119+0*Costeo!$D$119+0*Costeo!$E$119)&lt;=1000),0,IF((0*Costeo!$B$120+$A65*Costeo!$C$120+0*Costeo!$D$120+0*Costeo!$E$120)&lt;=10000000,20,IF((0*Costeo!$B$120+$A65*Costeo!$C$120+0*Costeo!$D$120+0*Costeo!$E$120)&lt;=50000000,100,300)))+MAX(0,ROUNDUP((0*Costeo!$B$36+$A65*Costeo!$C$36+0*Costeo!$D$36+0*Costeo!$E$36)/5000,0)-1)*Costeo!$B$62+IF((0*Costeo!$B$36+$A65*Costeo!$C$36+0*Costeo!$D$36+0*Costeo!$E$36)&gt;5000,32-Costeo!$B$61,0))*Costeo!$B$51,2))))&gt;=0),$A65,1000000000)</f>
        <v>14</v>
      </c>
      <c r="D65" s="121">
        <f>IF(AND($A65*Costeo!$D$36&lt;=10000,(($A65)*$D$11-$B$4-((ROUND((MAX(0,(0*Costeo!$B$117+0*Costeo!$C$117+$A65*Costeo!$D$117+0*Costeo!$E$117)-100)*Costeo!$B$53+MAX(0,(0*Costeo!$B$118+0*Costeo!$C$118+$A65*Costeo!$D$118+0*Costeo!$E$118)-250)*Costeo!$B$52+(MAX(0,ROUNDUP(((0*Costeo!$B$116+0*Costeo!$C$116)+($A65*Costeo!$D$116+0*Costeo!$E$116)*0.05)*2,0)-8)+(0*Costeo!$B$131+0*Costeo!$C$131+$A65*Costeo!$D$131+0*Costeo!$E$131))*Costeo!$B$54+IF((0*Costeo!$B$36+0*Costeo!$C$36)&lt;=2000,10,IF((0*Costeo!$B$36+0*Costeo!$C$36)&lt;=5000,15,IF((0*Costeo!$B$36+0*Costeo!$C$36)&lt;=10000,60,110)))-10)*Costeo!$B$51,2))+(ROUND((MAX(0,(0*Costeo!$B$130+0*Costeo!$C$130+$A65*Costeo!$D$130+0*Costeo!$E$130)+20*2*2*Costeo!$B$69+30*(1/3600*Costeo!$B$55+5/3600*Costeo!$B$56)-Costeo!$B$58)+IF(AND((0*Costeo!$B$120+0*Costeo!$C$120+$A65*Costeo!$D$120+0*Costeo!$E$120)&lt;=1000000,(0*Costeo!$B$119+0*Costeo!$C$119+$A65*Costeo!$D$119+0*Costeo!$E$119)&lt;=1000),0,IF((0*Costeo!$B$120+0*Costeo!$C$120+$A65*Costeo!$D$120+0*Costeo!$E$120)&lt;=10000000,20,IF((0*Costeo!$B$120+0*Costeo!$C$120+$A65*Costeo!$D$120+0*Costeo!$E$120)&lt;=50000000,100,300)))+MAX(0,ROUNDUP((0*Costeo!$B$36+0*Costeo!$C$36+$A65*Costeo!$D$36+0*Costeo!$E$36)/5000,0)-1)*Costeo!$B$62+IF((0*Costeo!$B$36+0*Costeo!$C$36+$A65*Costeo!$D$36+0*Costeo!$E$36)&gt;5000,32-Costeo!$B$61,0))*Costeo!$B$51,2))))&gt;=0),$A65,1000000000)</f>
        <v>14</v>
      </c>
      <c r="E65" s="121">
        <f>IF(AND($A65*Costeo!$E$36&lt;=10000,(($A65)*$D$12-$B$4-((ROUND((MAX(0,(0*Costeo!$B$117+0*Costeo!$C$117+0*Costeo!$D$117+$A65*Costeo!$E$117)-100)*Costeo!$B$53+MAX(0,(0*Costeo!$B$118+0*Costeo!$C$118+0*Costeo!$D$118+$A65*Costeo!$E$118)-250)*Costeo!$B$52+(MAX(0,ROUNDUP(((0*Costeo!$B$116+0*Costeo!$C$116)+(0*Costeo!$D$116+$A65*Costeo!$E$116)*0.05)*2,0)-8)+(0*Costeo!$B$131+0*Costeo!$C$131+0*Costeo!$D$131+$A65*Costeo!$E$131))*Costeo!$B$54+IF((0*Costeo!$B$36+0*Costeo!$C$36)&lt;=2000,10,IF((0*Costeo!$B$36+0*Costeo!$C$36)&lt;=5000,15,IF((0*Costeo!$B$36+0*Costeo!$C$36)&lt;=10000,60,110)))-10)*Costeo!$B$51,2))+(ROUND((MAX(0,(0*Costeo!$B$130+0*Costeo!$C$130+0*Costeo!$D$130+$A65*Costeo!$E$130)+20*2*2*Costeo!$B$69+30*(1/3600*Costeo!$B$55+5/3600*Costeo!$B$56)-Costeo!$B$58)+IF(AND((0*Costeo!$B$120+0*Costeo!$C$120+0*Costeo!$D$120+$A65*Costeo!$E$120)&lt;=1000000,(0*Costeo!$B$119+0*Costeo!$C$119+0*Costeo!$D$119+$A65*Costeo!$E$119)&lt;=1000),0,IF((0*Costeo!$B$120+0*Costeo!$C$120+0*Costeo!$D$120+$A65*Costeo!$E$120)&lt;=10000000,20,IF((0*Costeo!$B$120+0*Costeo!$C$120+0*Costeo!$D$120+$A65*Costeo!$E$120)&lt;=50000000,100,300)))+MAX(0,ROUNDUP((0*Costeo!$B$36+0*Costeo!$C$36+0*Costeo!$D$36+$A65*Costeo!$E$36)/5000,0)-1)*Costeo!$B$62+IF((0*Costeo!$B$36+0*Costeo!$C$36+0*Costeo!$D$36+$A65*Costeo!$E$36)&gt;5000,32-Costeo!$B$61,0))*Costeo!$B$51,2))))&gt;=0),$A65,1000000000)</f>
        <v>1000000000</v>
      </c>
    </row>
    <row r="66" hidden="1" outlineLevel="1" ht="30" customHeight="1" s="61">
      <c r="A66" s="52" t="n">
        <v>15</v>
      </c>
      <c r="B66" s="121">
        <f>IF(AND($A66*Costeo!$B$36&lt;=10000,(($A66)*$D$9-$B$4-((ROUND((MAX(0,($A66*Costeo!$B$117+0*Costeo!$C$117+0*Costeo!$D$117+0*Costeo!$E$117)-100)*Costeo!$B$53+MAX(0,($A66*Costeo!$B$118+0*Costeo!$C$118+0*Costeo!$D$118+0*Costeo!$E$118)-250)*Costeo!$B$52+(MAX(0,ROUNDUP((($A66*Costeo!$B$116+0*Costeo!$C$116)+(0*Costeo!$D$116+0*Costeo!$E$116)*0.05)*2,0)-8)+($A66*Costeo!$B$131+0*Costeo!$C$131+0*Costeo!$D$131+0*Costeo!$E$131))*Costeo!$B$54+IF(($A66*Costeo!$B$36+0*Costeo!$C$36)&lt;=2000,10,IF(($A66*Costeo!$B$36+0*Costeo!$C$36)&lt;=5000,15,IF(($A66*Costeo!$B$36+0*Costeo!$C$36)&lt;=10000,60,110)))-10)*Costeo!$B$51,2))+(ROUND((MAX(0,($A66*Costeo!$B$130+0*Costeo!$C$130+0*Costeo!$D$130+0*Costeo!$E$130)+20*2*2*Costeo!$B$69+30*(1/3600*Costeo!$B$55+5/3600*Costeo!$B$56)-Costeo!$B$58)+IF(AND(($A66*Costeo!$B$120+0*Costeo!$C$120+0*Costeo!$D$120+0*Costeo!$E$120)&lt;=1000000,($A66*Costeo!$B$119+0*Costeo!$C$119+0*Costeo!$D$119+0*Costeo!$E$119)&lt;=1000),0,IF(($A66*Costeo!$B$120+0*Costeo!$C$120+0*Costeo!$D$120+0*Costeo!$E$120)&lt;=10000000,20,IF(($A66*Costeo!$B$120+0*Costeo!$C$120+0*Costeo!$D$120+0*Costeo!$E$120)&lt;=50000000,100,300)))+MAX(0,ROUNDUP(($A66*Costeo!$B$36+0*Costeo!$C$36+0*Costeo!$D$36+0*Costeo!$E$36)/5000,0)-1)*Costeo!$B$62+IF(($A66*Costeo!$B$36+0*Costeo!$C$36+0*Costeo!$D$36+0*Costeo!$E$36)&gt;5000,32-Costeo!$B$61,0))*Costeo!$B$51,2))))&gt;=0),$A66,1000000000)</f>
        <v>15</v>
      </c>
      <c r="C66" s="121">
        <f>IF(AND($A66*Costeo!$C$36&lt;=10000,(($A66)*$D$10-$B$4-((ROUND((MAX(0,(0*Costeo!$B$117+$A66*Costeo!$C$117+0*Costeo!$D$117+0*Costeo!$E$117)-100)*Costeo!$B$53+MAX(0,(0*Costeo!$B$118+$A66*Costeo!$C$118+0*Costeo!$D$118+0*Costeo!$E$118)-250)*Costeo!$B$52+(MAX(0,ROUNDUP(((0*Costeo!$B$116+$A66*Costeo!$C$116)+(0*Costeo!$D$116+0*Costeo!$E$116)*0.05)*2,0)-8)+(0*Costeo!$B$131+$A66*Costeo!$C$131+0*Costeo!$D$131+0*Costeo!$E$131))*Costeo!$B$54+IF((0*Costeo!$B$36+$A66*Costeo!$C$36)&lt;=2000,10,IF((0*Costeo!$B$36+$A66*Costeo!$C$36)&lt;=5000,15,IF((0*Costeo!$B$36+$A66*Costeo!$C$36)&lt;=10000,60,110)))-10)*Costeo!$B$51,2))+(ROUND((MAX(0,(0*Costeo!$B$130+$A66*Costeo!$C$130+0*Costeo!$D$130+0*Costeo!$E$130)+20*2*2*Costeo!$B$69+30*(1/3600*Costeo!$B$55+5/3600*Costeo!$B$56)-Costeo!$B$58)+IF(AND((0*Costeo!$B$120+$A66*Costeo!$C$120+0*Costeo!$D$120+0*Costeo!$E$120)&lt;=1000000,(0*Costeo!$B$119+$A66*Costeo!$C$119+0*Costeo!$D$119+0*Costeo!$E$119)&lt;=1000),0,IF((0*Costeo!$B$120+$A66*Costeo!$C$120+0*Costeo!$D$120+0*Costeo!$E$120)&lt;=10000000,20,IF((0*Costeo!$B$120+$A66*Costeo!$C$120+0*Costeo!$D$120+0*Costeo!$E$120)&lt;=50000000,100,300)))+MAX(0,ROUNDUP((0*Costeo!$B$36+$A66*Costeo!$C$36+0*Costeo!$D$36+0*Costeo!$E$36)/5000,0)-1)*Costeo!$B$62+IF((0*Costeo!$B$36+$A66*Costeo!$C$36+0*Costeo!$D$36+0*Costeo!$E$36)&gt;5000,32-Costeo!$B$61,0))*Costeo!$B$51,2))))&gt;=0),$A66,1000000000)</f>
        <v>15</v>
      </c>
      <c r="D66" s="121">
        <f>IF(AND($A66*Costeo!$D$36&lt;=10000,(($A66)*$D$11-$B$4-((ROUND((MAX(0,(0*Costeo!$B$117+0*Costeo!$C$117+$A66*Costeo!$D$117+0*Costeo!$E$117)-100)*Costeo!$B$53+MAX(0,(0*Costeo!$B$118+0*Costeo!$C$118+$A66*Costeo!$D$118+0*Costeo!$E$118)-250)*Costeo!$B$52+(MAX(0,ROUNDUP(((0*Costeo!$B$116+0*Costeo!$C$116)+($A66*Costeo!$D$116+0*Costeo!$E$116)*0.05)*2,0)-8)+(0*Costeo!$B$131+0*Costeo!$C$131+$A66*Costeo!$D$131+0*Costeo!$E$131))*Costeo!$B$54+IF((0*Costeo!$B$36+0*Costeo!$C$36)&lt;=2000,10,IF((0*Costeo!$B$36+0*Costeo!$C$36)&lt;=5000,15,IF((0*Costeo!$B$36+0*Costeo!$C$36)&lt;=10000,60,110)))-10)*Costeo!$B$51,2))+(ROUND((MAX(0,(0*Costeo!$B$130+0*Costeo!$C$130+$A66*Costeo!$D$130+0*Costeo!$E$130)+20*2*2*Costeo!$B$69+30*(1/3600*Costeo!$B$55+5/3600*Costeo!$B$56)-Costeo!$B$58)+IF(AND((0*Costeo!$B$120+0*Costeo!$C$120+$A66*Costeo!$D$120+0*Costeo!$E$120)&lt;=1000000,(0*Costeo!$B$119+0*Costeo!$C$119+$A66*Costeo!$D$119+0*Costeo!$E$119)&lt;=1000),0,IF((0*Costeo!$B$120+0*Costeo!$C$120+$A66*Costeo!$D$120+0*Costeo!$E$120)&lt;=10000000,20,IF((0*Costeo!$B$120+0*Costeo!$C$120+$A66*Costeo!$D$120+0*Costeo!$E$120)&lt;=50000000,100,300)))+MAX(0,ROUNDUP((0*Costeo!$B$36+0*Costeo!$C$36+$A66*Costeo!$D$36+0*Costeo!$E$36)/5000,0)-1)*Costeo!$B$62+IF((0*Costeo!$B$36+0*Costeo!$C$36+$A66*Costeo!$D$36+0*Costeo!$E$36)&gt;5000,32-Costeo!$B$61,0))*Costeo!$B$51,2))))&gt;=0),$A66,1000000000)</f>
        <v>15</v>
      </c>
      <c r="E66" s="121">
        <f>IF(AND($A66*Costeo!$E$36&lt;=10000,(($A66)*$D$12-$B$4-((ROUND((MAX(0,(0*Costeo!$B$117+0*Costeo!$C$117+0*Costeo!$D$117+$A66*Costeo!$E$117)-100)*Costeo!$B$53+MAX(0,(0*Costeo!$B$118+0*Costeo!$C$118+0*Costeo!$D$118+$A66*Costeo!$E$118)-250)*Costeo!$B$52+(MAX(0,ROUNDUP(((0*Costeo!$B$116+0*Costeo!$C$116)+(0*Costeo!$D$116+$A66*Costeo!$E$116)*0.05)*2,0)-8)+(0*Costeo!$B$131+0*Costeo!$C$131+0*Costeo!$D$131+$A66*Costeo!$E$131))*Costeo!$B$54+IF((0*Costeo!$B$36+0*Costeo!$C$36)&lt;=2000,10,IF((0*Costeo!$B$36+0*Costeo!$C$36)&lt;=5000,15,IF((0*Costeo!$B$36+0*Costeo!$C$36)&lt;=10000,60,110)))-10)*Costeo!$B$51,2))+(ROUND((MAX(0,(0*Costeo!$B$130+0*Costeo!$C$130+0*Costeo!$D$130+$A66*Costeo!$E$130)+20*2*2*Costeo!$B$69+30*(1/3600*Costeo!$B$55+5/3600*Costeo!$B$56)-Costeo!$B$58)+IF(AND((0*Costeo!$B$120+0*Costeo!$C$120+0*Costeo!$D$120+$A66*Costeo!$E$120)&lt;=1000000,(0*Costeo!$B$119+0*Costeo!$C$119+0*Costeo!$D$119+$A66*Costeo!$E$119)&lt;=1000),0,IF((0*Costeo!$B$120+0*Costeo!$C$120+0*Costeo!$D$120+$A66*Costeo!$E$120)&lt;=10000000,20,IF((0*Costeo!$B$120+0*Costeo!$C$120+0*Costeo!$D$120+$A66*Costeo!$E$120)&lt;=50000000,100,300)))+MAX(0,ROUNDUP((0*Costeo!$B$36+0*Costeo!$C$36+0*Costeo!$D$36+$A66*Costeo!$E$36)/5000,0)-1)*Costeo!$B$62+IF((0*Costeo!$B$36+0*Costeo!$C$36+0*Costeo!$D$36+$A66*Costeo!$E$36)&gt;5000,32-Costeo!$B$61,0))*Costeo!$B$51,2))))&gt;=0),$A66,1000000000)</f>
        <v>1000000000</v>
      </c>
    </row>
    <row r="67" hidden="1" outlineLevel="1" ht="30" customHeight="1" s="61">
      <c r="A67" s="52" t="n">
        <v>16</v>
      </c>
      <c r="B67" s="121">
        <f>IF(AND($A67*Costeo!$B$36&lt;=10000,(($A67)*$D$9-$B$4-((ROUND((MAX(0,($A67*Costeo!$B$117+0*Costeo!$C$117+0*Costeo!$D$117+0*Costeo!$E$117)-100)*Costeo!$B$53+MAX(0,($A67*Costeo!$B$118+0*Costeo!$C$118+0*Costeo!$D$118+0*Costeo!$E$118)-250)*Costeo!$B$52+(MAX(0,ROUNDUP((($A67*Costeo!$B$116+0*Costeo!$C$116)+(0*Costeo!$D$116+0*Costeo!$E$116)*0.05)*2,0)-8)+($A67*Costeo!$B$131+0*Costeo!$C$131+0*Costeo!$D$131+0*Costeo!$E$131))*Costeo!$B$54+IF(($A67*Costeo!$B$36+0*Costeo!$C$36)&lt;=2000,10,IF(($A67*Costeo!$B$36+0*Costeo!$C$36)&lt;=5000,15,IF(($A67*Costeo!$B$36+0*Costeo!$C$36)&lt;=10000,60,110)))-10)*Costeo!$B$51,2))+(ROUND((MAX(0,($A67*Costeo!$B$130+0*Costeo!$C$130+0*Costeo!$D$130+0*Costeo!$E$130)+20*2*2*Costeo!$B$69+30*(1/3600*Costeo!$B$55+5/3600*Costeo!$B$56)-Costeo!$B$58)+IF(AND(($A67*Costeo!$B$120+0*Costeo!$C$120+0*Costeo!$D$120+0*Costeo!$E$120)&lt;=1000000,($A67*Costeo!$B$119+0*Costeo!$C$119+0*Costeo!$D$119+0*Costeo!$E$119)&lt;=1000),0,IF(($A67*Costeo!$B$120+0*Costeo!$C$120+0*Costeo!$D$120+0*Costeo!$E$120)&lt;=10000000,20,IF(($A67*Costeo!$B$120+0*Costeo!$C$120+0*Costeo!$D$120+0*Costeo!$E$120)&lt;=50000000,100,300)))+MAX(0,ROUNDUP(($A67*Costeo!$B$36+0*Costeo!$C$36+0*Costeo!$D$36+0*Costeo!$E$36)/5000,0)-1)*Costeo!$B$62+IF(($A67*Costeo!$B$36+0*Costeo!$C$36+0*Costeo!$D$36+0*Costeo!$E$36)&gt;5000,32-Costeo!$B$61,0))*Costeo!$B$51,2))))&gt;=0),$A67,1000000000)</f>
        <v>16</v>
      </c>
      <c r="C67" s="121">
        <f>IF(AND($A67*Costeo!$C$36&lt;=10000,(($A67)*$D$10-$B$4-((ROUND((MAX(0,(0*Costeo!$B$117+$A67*Costeo!$C$117+0*Costeo!$D$117+0*Costeo!$E$117)-100)*Costeo!$B$53+MAX(0,(0*Costeo!$B$118+$A67*Costeo!$C$118+0*Costeo!$D$118+0*Costeo!$E$118)-250)*Costeo!$B$52+(MAX(0,ROUNDUP(((0*Costeo!$B$116+$A67*Costeo!$C$116)+(0*Costeo!$D$116+0*Costeo!$E$116)*0.05)*2,0)-8)+(0*Costeo!$B$131+$A67*Costeo!$C$131+0*Costeo!$D$131+0*Costeo!$E$131))*Costeo!$B$54+IF((0*Costeo!$B$36+$A67*Costeo!$C$36)&lt;=2000,10,IF((0*Costeo!$B$36+$A67*Costeo!$C$36)&lt;=5000,15,IF((0*Costeo!$B$36+$A67*Costeo!$C$36)&lt;=10000,60,110)))-10)*Costeo!$B$51,2))+(ROUND((MAX(0,(0*Costeo!$B$130+$A67*Costeo!$C$130+0*Costeo!$D$130+0*Costeo!$E$130)+20*2*2*Costeo!$B$69+30*(1/3600*Costeo!$B$55+5/3600*Costeo!$B$56)-Costeo!$B$58)+IF(AND((0*Costeo!$B$120+$A67*Costeo!$C$120+0*Costeo!$D$120+0*Costeo!$E$120)&lt;=1000000,(0*Costeo!$B$119+$A67*Costeo!$C$119+0*Costeo!$D$119+0*Costeo!$E$119)&lt;=1000),0,IF((0*Costeo!$B$120+$A67*Costeo!$C$120+0*Costeo!$D$120+0*Costeo!$E$120)&lt;=10000000,20,IF((0*Costeo!$B$120+$A67*Costeo!$C$120+0*Costeo!$D$120+0*Costeo!$E$120)&lt;=50000000,100,300)))+MAX(0,ROUNDUP((0*Costeo!$B$36+$A67*Costeo!$C$36+0*Costeo!$D$36+0*Costeo!$E$36)/5000,0)-1)*Costeo!$B$62+IF((0*Costeo!$B$36+$A67*Costeo!$C$36+0*Costeo!$D$36+0*Costeo!$E$36)&gt;5000,32-Costeo!$B$61,0))*Costeo!$B$51,2))))&gt;=0),$A67,1000000000)</f>
        <v>16</v>
      </c>
      <c r="D67" s="121">
        <f>IF(AND($A67*Costeo!$D$36&lt;=10000,(($A67)*$D$11-$B$4-((ROUND((MAX(0,(0*Costeo!$B$117+0*Costeo!$C$117+$A67*Costeo!$D$117+0*Costeo!$E$117)-100)*Costeo!$B$53+MAX(0,(0*Costeo!$B$118+0*Costeo!$C$118+$A67*Costeo!$D$118+0*Costeo!$E$118)-250)*Costeo!$B$52+(MAX(0,ROUNDUP(((0*Costeo!$B$116+0*Costeo!$C$116)+($A67*Costeo!$D$116+0*Costeo!$E$116)*0.05)*2,0)-8)+(0*Costeo!$B$131+0*Costeo!$C$131+$A67*Costeo!$D$131+0*Costeo!$E$131))*Costeo!$B$54+IF((0*Costeo!$B$36+0*Costeo!$C$36)&lt;=2000,10,IF((0*Costeo!$B$36+0*Costeo!$C$36)&lt;=5000,15,IF((0*Costeo!$B$36+0*Costeo!$C$36)&lt;=10000,60,110)))-10)*Costeo!$B$51,2))+(ROUND((MAX(0,(0*Costeo!$B$130+0*Costeo!$C$130+$A67*Costeo!$D$130+0*Costeo!$E$130)+20*2*2*Costeo!$B$69+30*(1/3600*Costeo!$B$55+5/3600*Costeo!$B$56)-Costeo!$B$58)+IF(AND((0*Costeo!$B$120+0*Costeo!$C$120+$A67*Costeo!$D$120+0*Costeo!$E$120)&lt;=1000000,(0*Costeo!$B$119+0*Costeo!$C$119+$A67*Costeo!$D$119+0*Costeo!$E$119)&lt;=1000),0,IF((0*Costeo!$B$120+0*Costeo!$C$120+$A67*Costeo!$D$120+0*Costeo!$E$120)&lt;=10000000,20,IF((0*Costeo!$B$120+0*Costeo!$C$120+$A67*Costeo!$D$120+0*Costeo!$E$120)&lt;=50000000,100,300)))+MAX(0,ROUNDUP((0*Costeo!$B$36+0*Costeo!$C$36+$A67*Costeo!$D$36+0*Costeo!$E$36)/5000,0)-1)*Costeo!$B$62+IF((0*Costeo!$B$36+0*Costeo!$C$36+$A67*Costeo!$D$36+0*Costeo!$E$36)&gt;5000,32-Costeo!$B$61,0))*Costeo!$B$51,2))))&gt;=0),$A67,1000000000)</f>
        <v>16</v>
      </c>
      <c r="E67" s="121">
        <f>IF(AND($A67*Costeo!$E$36&lt;=10000,(($A67)*$D$12-$B$4-((ROUND((MAX(0,(0*Costeo!$B$117+0*Costeo!$C$117+0*Costeo!$D$117+$A67*Costeo!$E$117)-100)*Costeo!$B$53+MAX(0,(0*Costeo!$B$118+0*Costeo!$C$118+0*Costeo!$D$118+$A67*Costeo!$E$118)-250)*Costeo!$B$52+(MAX(0,ROUNDUP(((0*Costeo!$B$116+0*Costeo!$C$116)+(0*Costeo!$D$116+$A67*Costeo!$E$116)*0.05)*2,0)-8)+(0*Costeo!$B$131+0*Costeo!$C$131+0*Costeo!$D$131+$A67*Costeo!$E$131))*Costeo!$B$54+IF((0*Costeo!$B$36+0*Costeo!$C$36)&lt;=2000,10,IF((0*Costeo!$B$36+0*Costeo!$C$36)&lt;=5000,15,IF((0*Costeo!$B$36+0*Costeo!$C$36)&lt;=10000,60,110)))-10)*Costeo!$B$51,2))+(ROUND((MAX(0,(0*Costeo!$B$130+0*Costeo!$C$130+0*Costeo!$D$130+$A67*Costeo!$E$130)+20*2*2*Costeo!$B$69+30*(1/3600*Costeo!$B$55+5/3600*Costeo!$B$56)-Costeo!$B$58)+IF(AND((0*Costeo!$B$120+0*Costeo!$C$120+0*Costeo!$D$120+$A67*Costeo!$E$120)&lt;=1000000,(0*Costeo!$B$119+0*Costeo!$C$119+0*Costeo!$D$119+$A67*Costeo!$E$119)&lt;=1000),0,IF((0*Costeo!$B$120+0*Costeo!$C$120+0*Costeo!$D$120+$A67*Costeo!$E$120)&lt;=10000000,20,IF((0*Costeo!$B$120+0*Costeo!$C$120+0*Costeo!$D$120+$A67*Costeo!$E$120)&lt;=50000000,100,300)))+MAX(0,ROUNDUP((0*Costeo!$B$36+0*Costeo!$C$36+0*Costeo!$D$36+$A67*Costeo!$E$36)/5000,0)-1)*Costeo!$B$62+IF((0*Costeo!$B$36+0*Costeo!$C$36+0*Costeo!$D$36+$A67*Costeo!$E$36)&gt;5000,32-Costeo!$B$61,0))*Costeo!$B$51,2))))&gt;=0),$A67,1000000000)</f>
        <v>1000000000</v>
      </c>
    </row>
    <row r="68" hidden="1" outlineLevel="1" ht="30" customHeight="1" s="61">
      <c r="A68" s="52" t="n">
        <v>17</v>
      </c>
      <c r="B68" s="121">
        <f>IF(AND($A68*Costeo!$B$36&lt;=10000,(($A68)*$D$9-$B$4-((ROUND((MAX(0,($A68*Costeo!$B$117+0*Costeo!$C$117+0*Costeo!$D$117+0*Costeo!$E$117)-100)*Costeo!$B$53+MAX(0,($A68*Costeo!$B$118+0*Costeo!$C$118+0*Costeo!$D$118+0*Costeo!$E$118)-250)*Costeo!$B$52+(MAX(0,ROUNDUP((($A68*Costeo!$B$116+0*Costeo!$C$116)+(0*Costeo!$D$116+0*Costeo!$E$116)*0.05)*2,0)-8)+($A68*Costeo!$B$131+0*Costeo!$C$131+0*Costeo!$D$131+0*Costeo!$E$131))*Costeo!$B$54+IF(($A68*Costeo!$B$36+0*Costeo!$C$36)&lt;=2000,10,IF(($A68*Costeo!$B$36+0*Costeo!$C$36)&lt;=5000,15,IF(($A68*Costeo!$B$36+0*Costeo!$C$36)&lt;=10000,60,110)))-10)*Costeo!$B$51,2))+(ROUND((MAX(0,($A68*Costeo!$B$130+0*Costeo!$C$130+0*Costeo!$D$130+0*Costeo!$E$130)+20*2*2*Costeo!$B$69+30*(1/3600*Costeo!$B$55+5/3600*Costeo!$B$56)-Costeo!$B$58)+IF(AND(($A68*Costeo!$B$120+0*Costeo!$C$120+0*Costeo!$D$120+0*Costeo!$E$120)&lt;=1000000,($A68*Costeo!$B$119+0*Costeo!$C$119+0*Costeo!$D$119+0*Costeo!$E$119)&lt;=1000),0,IF(($A68*Costeo!$B$120+0*Costeo!$C$120+0*Costeo!$D$120+0*Costeo!$E$120)&lt;=10000000,20,IF(($A68*Costeo!$B$120+0*Costeo!$C$120+0*Costeo!$D$120+0*Costeo!$E$120)&lt;=50000000,100,300)))+MAX(0,ROUNDUP(($A68*Costeo!$B$36+0*Costeo!$C$36+0*Costeo!$D$36+0*Costeo!$E$36)/5000,0)-1)*Costeo!$B$62+IF(($A68*Costeo!$B$36+0*Costeo!$C$36+0*Costeo!$D$36+0*Costeo!$E$36)&gt;5000,32-Costeo!$B$61,0))*Costeo!$B$51,2))))&gt;=0),$A68,1000000000)</f>
        <v>17</v>
      </c>
      <c r="C68" s="121">
        <f>IF(AND($A68*Costeo!$C$36&lt;=10000,(($A68)*$D$10-$B$4-((ROUND((MAX(0,(0*Costeo!$B$117+$A68*Costeo!$C$117+0*Costeo!$D$117+0*Costeo!$E$117)-100)*Costeo!$B$53+MAX(0,(0*Costeo!$B$118+$A68*Costeo!$C$118+0*Costeo!$D$118+0*Costeo!$E$118)-250)*Costeo!$B$52+(MAX(0,ROUNDUP(((0*Costeo!$B$116+$A68*Costeo!$C$116)+(0*Costeo!$D$116+0*Costeo!$E$116)*0.05)*2,0)-8)+(0*Costeo!$B$131+$A68*Costeo!$C$131+0*Costeo!$D$131+0*Costeo!$E$131))*Costeo!$B$54+IF((0*Costeo!$B$36+$A68*Costeo!$C$36)&lt;=2000,10,IF((0*Costeo!$B$36+$A68*Costeo!$C$36)&lt;=5000,15,IF((0*Costeo!$B$36+$A68*Costeo!$C$36)&lt;=10000,60,110)))-10)*Costeo!$B$51,2))+(ROUND((MAX(0,(0*Costeo!$B$130+$A68*Costeo!$C$130+0*Costeo!$D$130+0*Costeo!$E$130)+20*2*2*Costeo!$B$69+30*(1/3600*Costeo!$B$55+5/3600*Costeo!$B$56)-Costeo!$B$58)+IF(AND((0*Costeo!$B$120+$A68*Costeo!$C$120+0*Costeo!$D$120+0*Costeo!$E$120)&lt;=1000000,(0*Costeo!$B$119+$A68*Costeo!$C$119+0*Costeo!$D$119+0*Costeo!$E$119)&lt;=1000),0,IF((0*Costeo!$B$120+$A68*Costeo!$C$120+0*Costeo!$D$120+0*Costeo!$E$120)&lt;=10000000,20,IF((0*Costeo!$B$120+$A68*Costeo!$C$120+0*Costeo!$D$120+0*Costeo!$E$120)&lt;=50000000,100,300)))+MAX(0,ROUNDUP((0*Costeo!$B$36+$A68*Costeo!$C$36+0*Costeo!$D$36+0*Costeo!$E$36)/5000,0)-1)*Costeo!$B$62+IF((0*Costeo!$B$36+$A68*Costeo!$C$36+0*Costeo!$D$36+0*Costeo!$E$36)&gt;5000,32-Costeo!$B$61,0))*Costeo!$B$51,2))))&gt;=0),$A68,1000000000)</f>
        <v>17</v>
      </c>
      <c r="D68" s="121">
        <f>IF(AND($A68*Costeo!$D$36&lt;=10000,(($A68)*$D$11-$B$4-((ROUND((MAX(0,(0*Costeo!$B$117+0*Costeo!$C$117+$A68*Costeo!$D$117+0*Costeo!$E$117)-100)*Costeo!$B$53+MAX(0,(0*Costeo!$B$118+0*Costeo!$C$118+$A68*Costeo!$D$118+0*Costeo!$E$118)-250)*Costeo!$B$52+(MAX(0,ROUNDUP(((0*Costeo!$B$116+0*Costeo!$C$116)+($A68*Costeo!$D$116+0*Costeo!$E$116)*0.05)*2,0)-8)+(0*Costeo!$B$131+0*Costeo!$C$131+$A68*Costeo!$D$131+0*Costeo!$E$131))*Costeo!$B$54+IF((0*Costeo!$B$36+0*Costeo!$C$36)&lt;=2000,10,IF((0*Costeo!$B$36+0*Costeo!$C$36)&lt;=5000,15,IF((0*Costeo!$B$36+0*Costeo!$C$36)&lt;=10000,60,110)))-10)*Costeo!$B$51,2))+(ROUND((MAX(0,(0*Costeo!$B$130+0*Costeo!$C$130+$A68*Costeo!$D$130+0*Costeo!$E$130)+20*2*2*Costeo!$B$69+30*(1/3600*Costeo!$B$55+5/3600*Costeo!$B$56)-Costeo!$B$58)+IF(AND((0*Costeo!$B$120+0*Costeo!$C$120+$A68*Costeo!$D$120+0*Costeo!$E$120)&lt;=1000000,(0*Costeo!$B$119+0*Costeo!$C$119+$A68*Costeo!$D$119+0*Costeo!$E$119)&lt;=1000),0,IF((0*Costeo!$B$120+0*Costeo!$C$120+$A68*Costeo!$D$120+0*Costeo!$E$120)&lt;=10000000,20,IF((0*Costeo!$B$120+0*Costeo!$C$120+$A68*Costeo!$D$120+0*Costeo!$E$120)&lt;=50000000,100,300)))+MAX(0,ROUNDUP((0*Costeo!$B$36+0*Costeo!$C$36+$A68*Costeo!$D$36+0*Costeo!$E$36)/5000,0)-1)*Costeo!$B$62+IF((0*Costeo!$B$36+0*Costeo!$C$36+$A68*Costeo!$D$36+0*Costeo!$E$36)&gt;5000,32-Costeo!$B$61,0))*Costeo!$B$51,2))))&gt;=0),$A68,1000000000)</f>
        <v>17</v>
      </c>
      <c r="E68" s="121">
        <f>IF(AND($A68*Costeo!$E$36&lt;=10000,(($A68)*$D$12-$B$4-((ROUND((MAX(0,(0*Costeo!$B$117+0*Costeo!$C$117+0*Costeo!$D$117+$A68*Costeo!$E$117)-100)*Costeo!$B$53+MAX(0,(0*Costeo!$B$118+0*Costeo!$C$118+0*Costeo!$D$118+$A68*Costeo!$E$118)-250)*Costeo!$B$52+(MAX(0,ROUNDUP(((0*Costeo!$B$116+0*Costeo!$C$116)+(0*Costeo!$D$116+$A68*Costeo!$E$116)*0.05)*2,0)-8)+(0*Costeo!$B$131+0*Costeo!$C$131+0*Costeo!$D$131+$A68*Costeo!$E$131))*Costeo!$B$54+IF((0*Costeo!$B$36+0*Costeo!$C$36)&lt;=2000,10,IF((0*Costeo!$B$36+0*Costeo!$C$36)&lt;=5000,15,IF((0*Costeo!$B$36+0*Costeo!$C$36)&lt;=10000,60,110)))-10)*Costeo!$B$51,2))+(ROUND((MAX(0,(0*Costeo!$B$130+0*Costeo!$C$130+0*Costeo!$D$130+$A68*Costeo!$E$130)+20*2*2*Costeo!$B$69+30*(1/3600*Costeo!$B$55+5/3600*Costeo!$B$56)-Costeo!$B$58)+IF(AND((0*Costeo!$B$120+0*Costeo!$C$120+0*Costeo!$D$120+$A68*Costeo!$E$120)&lt;=1000000,(0*Costeo!$B$119+0*Costeo!$C$119+0*Costeo!$D$119+$A68*Costeo!$E$119)&lt;=1000),0,IF((0*Costeo!$B$120+0*Costeo!$C$120+0*Costeo!$D$120+$A68*Costeo!$E$120)&lt;=10000000,20,IF((0*Costeo!$B$120+0*Costeo!$C$120+0*Costeo!$D$120+$A68*Costeo!$E$120)&lt;=50000000,100,300)))+MAX(0,ROUNDUP((0*Costeo!$B$36+0*Costeo!$C$36+0*Costeo!$D$36+$A68*Costeo!$E$36)/5000,0)-1)*Costeo!$B$62+IF((0*Costeo!$B$36+0*Costeo!$C$36+0*Costeo!$D$36+$A68*Costeo!$E$36)&gt;5000,32-Costeo!$B$61,0))*Costeo!$B$51,2))))&gt;=0),$A68,1000000000)</f>
        <v>1000000000</v>
      </c>
    </row>
    <row r="69" hidden="1" outlineLevel="1" ht="30" customHeight="1" s="61">
      <c r="A69" s="52" t="n">
        <v>18</v>
      </c>
      <c r="B69" s="121">
        <f>IF(AND($A69*Costeo!$B$36&lt;=10000,(($A69)*$D$9-$B$4-((ROUND((MAX(0,($A69*Costeo!$B$117+0*Costeo!$C$117+0*Costeo!$D$117+0*Costeo!$E$117)-100)*Costeo!$B$53+MAX(0,($A69*Costeo!$B$118+0*Costeo!$C$118+0*Costeo!$D$118+0*Costeo!$E$118)-250)*Costeo!$B$52+(MAX(0,ROUNDUP((($A69*Costeo!$B$116+0*Costeo!$C$116)+(0*Costeo!$D$116+0*Costeo!$E$116)*0.05)*2,0)-8)+($A69*Costeo!$B$131+0*Costeo!$C$131+0*Costeo!$D$131+0*Costeo!$E$131))*Costeo!$B$54+IF(($A69*Costeo!$B$36+0*Costeo!$C$36)&lt;=2000,10,IF(($A69*Costeo!$B$36+0*Costeo!$C$36)&lt;=5000,15,IF(($A69*Costeo!$B$36+0*Costeo!$C$36)&lt;=10000,60,110)))-10)*Costeo!$B$51,2))+(ROUND((MAX(0,($A69*Costeo!$B$130+0*Costeo!$C$130+0*Costeo!$D$130+0*Costeo!$E$130)+20*2*2*Costeo!$B$69+30*(1/3600*Costeo!$B$55+5/3600*Costeo!$B$56)-Costeo!$B$58)+IF(AND(($A69*Costeo!$B$120+0*Costeo!$C$120+0*Costeo!$D$120+0*Costeo!$E$120)&lt;=1000000,($A69*Costeo!$B$119+0*Costeo!$C$119+0*Costeo!$D$119+0*Costeo!$E$119)&lt;=1000),0,IF(($A69*Costeo!$B$120+0*Costeo!$C$120+0*Costeo!$D$120+0*Costeo!$E$120)&lt;=10000000,20,IF(($A69*Costeo!$B$120+0*Costeo!$C$120+0*Costeo!$D$120+0*Costeo!$E$120)&lt;=50000000,100,300)))+MAX(0,ROUNDUP(($A69*Costeo!$B$36+0*Costeo!$C$36+0*Costeo!$D$36+0*Costeo!$E$36)/5000,0)-1)*Costeo!$B$62+IF(($A69*Costeo!$B$36+0*Costeo!$C$36+0*Costeo!$D$36+0*Costeo!$E$36)&gt;5000,32-Costeo!$B$61,0))*Costeo!$B$51,2))))&gt;=0),$A69,1000000000)</f>
        <v>18</v>
      </c>
      <c r="C69" s="121">
        <f>IF(AND($A69*Costeo!$C$36&lt;=10000,(($A69)*$D$10-$B$4-((ROUND((MAX(0,(0*Costeo!$B$117+$A69*Costeo!$C$117+0*Costeo!$D$117+0*Costeo!$E$117)-100)*Costeo!$B$53+MAX(0,(0*Costeo!$B$118+$A69*Costeo!$C$118+0*Costeo!$D$118+0*Costeo!$E$118)-250)*Costeo!$B$52+(MAX(0,ROUNDUP(((0*Costeo!$B$116+$A69*Costeo!$C$116)+(0*Costeo!$D$116+0*Costeo!$E$116)*0.05)*2,0)-8)+(0*Costeo!$B$131+$A69*Costeo!$C$131+0*Costeo!$D$131+0*Costeo!$E$131))*Costeo!$B$54+IF((0*Costeo!$B$36+$A69*Costeo!$C$36)&lt;=2000,10,IF((0*Costeo!$B$36+$A69*Costeo!$C$36)&lt;=5000,15,IF((0*Costeo!$B$36+$A69*Costeo!$C$36)&lt;=10000,60,110)))-10)*Costeo!$B$51,2))+(ROUND((MAX(0,(0*Costeo!$B$130+$A69*Costeo!$C$130+0*Costeo!$D$130+0*Costeo!$E$130)+20*2*2*Costeo!$B$69+30*(1/3600*Costeo!$B$55+5/3600*Costeo!$B$56)-Costeo!$B$58)+IF(AND((0*Costeo!$B$120+$A69*Costeo!$C$120+0*Costeo!$D$120+0*Costeo!$E$120)&lt;=1000000,(0*Costeo!$B$119+$A69*Costeo!$C$119+0*Costeo!$D$119+0*Costeo!$E$119)&lt;=1000),0,IF((0*Costeo!$B$120+$A69*Costeo!$C$120+0*Costeo!$D$120+0*Costeo!$E$120)&lt;=10000000,20,IF((0*Costeo!$B$120+$A69*Costeo!$C$120+0*Costeo!$D$120+0*Costeo!$E$120)&lt;=50000000,100,300)))+MAX(0,ROUNDUP((0*Costeo!$B$36+$A69*Costeo!$C$36+0*Costeo!$D$36+0*Costeo!$E$36)/5000,0)-1)*Costeo!$B$62+IF((0*Costeo!$B$36+$A69*Costeo!$C$36+0*Costeo!$D$36+0*Costeo!$E$36)&gt;5000,32-Costeo!$B$61,0))*Costeo!$B$51,2))))&gt;=0),$A69,1000000000)</f>
        <v>18</v>
      </c>
      <c r="D69" s="121">
        <f>IF(AND($A69*Costeo!$D$36&lt;=10000,(($A69)*$D$11-$B$4-((ROUND((MAX(0,(0*Costeo!$B$117+0*Costeo!$C$117+$A69*Costeo!$D$117+0*Costeo!$E$117)-100)*Costeo!$B$53+MAX(0,(0*Costeo!$B$118+0*Costeo!$C$118+$A69*Costeo!$D$118+0*Costeo!$E$118)-250)*Costeo!$B$52+(MAX(0,ROUNDUP(((0*Costeo!$B$116+0*Costeo!$C$116)+($A69*Costeo!$D$116+0*Costeo!$E$116)*0.05)*2,0)-8)+(0*Costeo!$B$131+0*Costeo!$C$131+$A69*Costeo!$D$131+0*Costeo!$E$131))*Costeo!$B$54+IF((0*Costeo!$B$36+0*Costeo!$C$36)&lt;=2000,10,IF((0*Costeo!$B$36+0*Costeo!$C$36)&lt;=5000,15,IF((0*Costeo!$B$36+0*Costeo!$C$36)&lt;=10000,60,110)))-10)*Costeo!$B$51,2))+(ROUND((MAX(0,(0*Costeo!$B$130+0*Costeo!$C$130+$A69*Costeo!$D$130+0*Costeo!$E$130)+20*2*2*Costeo!$B$69+30*(1/3600*Costeo!$B$55+5/3600*Costeo!$B$56)-Costeo!$B$58)+IF(AND((0*Costeo!$B$120+0*Costeo!$C$120+$A69*Costeo!$D$120+0*Costeo!$E$120)&lt;=1000000,(0*Costeo!$B$119+0*Costeo!$C$119+$A69*Costeo!$D$119+0*Costeo!$E$119)&lt;=1000),0,IF((0*Costeo!$B$120+0*Costeo!$C$120+$A69*Costeo!$D$120+0*Costeo!$E$120)&lt;=10000000,20,IF((0*Costeo!$B$120+0*Costeo!$C$120+$A69*Costeo!$D$120+0*Costeo!$E$120)&lt;=50000000,100,300)))+MAX(0,ROUNDUP((0*Costeo!$B$36+0*Costeo!$C$36+$A69*Costeo!$D$36+0*Costeo!$E$36)/5000,0)-1)*Costeo!$B$62+IF((0*Costeo!$B$36+0*Costeo!$C$36+$A69*Costeo!$D$36+0*Costeo!$E$36)&gt;5000,32-Costeo!$B$61,0))*Costeo!$B$51,2))))&gt;=0),$A69,1000000000)</f>
        <v>18</v>
      </c>
      <c r="E69" s="121">
        <f>IF(AND($A69*Costeo!$E$36&lt;=10000,(($A69)*$D$12-$B$4-((ROUND((MAX(0,(0*Costeo!$B$117+0*Costeo!$C$117+0*Costeo!$D$117+$A69*Costeo!$E$117)-100)*Costeo!$B$53+MAX(0,(0*Costeo!$B$118+0*Costeo!$C$118+0*Costeo!$D$118+$A69*Costeo!$E$118)-250)*Costeo!$B$52+(MAX(0,ROUNDUP(((0*Costeo!$B$116+0*Costeo!$C$116)+(0*Costeo!$D$116+$A69*Costeo!$E$116)*0.05)*2,0)-8)+(0*Costeo!$B$131+0*Costeo!$C$131+0*Costeo!$D$131+$A69*Costeo!$E$131))*Costeo!$B$54+IF((0*Costeo!$B$36+0*Costeo!$C$36)&lt;=2000,10,IF((0*Costeo!$B$36+0*Costeo!$C$36)&lt;=5000,15,IF((0*Costeo!$B$36+0*Costeo!$C$36)&lt;=10000,60,110)))-10)*Costeo!$B$51,2))+(ROUND((MAX(0,(0*Costeo!$B$130+0*Costeo!$C$130+0*Costeo!$D$130+$A69*Costeo!$E$130)+20*2*2*Costeo!$B$69+30*(1/3600*Costeo!$B$55+5/3600*Costeo!$B$56)-Costeo!$B$58)+IF(AND((0*Costeo!$B$120+0*Costeo!$C$120+0*Costeo!$D$120+$A69*Costeo!$E$120)&lt;=1000000,(0*Costeo!$B$119+0*Costeo!$C$119+0*Costeo!$D$119+$A69*Costeo!$E$119)&lt;=1000),0,IF((0*Costeo!$B$120+0*Costeo!$C$120+0*Costeo!$D$120+$A69*Costeo!$E$120)&lt;=10000000,20,IF((0*Costeo!$B$120+0*Costeo!$C$120+0*Costeo!$D$120+$A69*Costeo!$E$120)&lt;=50000000,100,300)))+MAX(0,ROUNDUP((0*Costeo!$B$36+0*Costeo!$C$36+0*Costeo!$D$36+$A69*Costeo!$E$36)/5000,0)-1)*Costeo!$B$62+IF((0*Costeo!$B$36+0*Costeo!$C$36+0*Costeo!$D$36+$A69*Costeo!$E$36)&gt;5000,32-Costeo!$B$61,0))*Costeo!$B$51,2))))&gt;=0),$A69,1000000000)</f>
        <v>1000000000</v>
      </c>
    </row>
    <row r="70" hidden="1" outlineLevel="1" ht="30" customHeight="1" s="61">
      <c r="A70" s="52" t="n">
        <v>19</v>
      </c>
      <c r="B70" s="121">
        <f>IF(AND($A70*Costeo!$B$36&lt;=10000,(($A70)*$D$9-$B$4-((ROUND((MAX(0,($A70*Costeo!$B$117+0*Costeo!$C$117+0*Costeo!$D$117+0*Costeo!$E$117)-100)*Costeo!$B$53+MAX(0,($A70*Costeo!$B$118+0*Costeo!$C$118+0*Costeo!$D$118+0*Costeo!$E$118)-250)*Costeo!$B$52+(MAX(0,ROUNDUP((($A70*Costeo!$B$116+0*Costeo!$C$116)+(0*Costeo!$D$116+0*Costeo!$E$116)*0.05)*2,0)-8)+($A70*Costeo!$B$131+0*Costeo!$C$131+0*Costeo!$D$131+0*Costeo!$E$131))*Costeo!$B$54+IF(($A70*Costeo!$B$36+0*Costeo!$C$36)&lt;=2000,10,IF(($A70*Costeo!$B$36+0*Costeo!$C$36)&lt;=5000,15,IF(($A70*Costeo!$B$36+0*Costeo!$C$36)&lt;=10000,60,110)))-10)*Costeo!$B$51,2))+(ROUND((MAX(0,($A70*Costeo!$B$130+0*Costeo!$C$130+0*Costeo!$D$130+0*Costeo!$E$130)+20*2*2*Costeo!$B$69+30*(1/3600*Costeo!$B$55+5/3600*Costeo!$B$56)-Costeo!$B$58)+IF(AND(($A70*Costeo!$B$120+0*Costeo!$C$120+0*Costeo!$D$120+0*Costeo!$E$120)&lt;=1000000,($A70*Costeo!$B$119+0*Costeo!$C$119+0*Costeo!$D$119+0*Costeo!$E$119)&lt;=1000),0,IF(($A70*Costeo!$B$120+0*Costeo!$C$120+0*Costeo!$D$120+0*Costeo!$E$120)&lt;=10000000,20,IF(($A70*Costeo!$B$120+0*Costeo!$C$120+0*Costeo!$D$120+0*Costeo!$E$120)&lt;=50000000,100,300)))+MAX(0,ROUNDUP(($A70*Costeo!$B$36+0*Costeo!$C$36+0*Costeo!$D$36+0*Costeo!$E$36)/5000,0)-1)*Costeo!$B$62+IF(($A70*Costeo!$B$36+0*Costeo!$C$36+0*Costeo!$D$36+0*Costeo!$E$36)&gt;5000,32-Costeo!$B$61,0))*Costeo!$B$51,2))))&gt;=0),$A70,1000000000)</f>
        <v>19</v>
      </c>
      <c r="C70" s="121">
        <f>IF(AND($A70*Costeo!$C$36&lt;=10000,(($A70)*$D$10-$B$4-((ROUND((MAX(0,(0*Costeo!$B$117+$A70*Costeo!$C$117+0*Costeo!$D$117+0*Costeo!$E$117)-100)*Costeo!$B$53+MAX(0,(0*Costeo!$B$118+$A70*Costeo!$C$118+0*Costeo!$D$118+0*Costeo!$E$118)-250)*Costeo!$B$52+(MAX(0,ROUNDUP(((0*Costeo!$B$116+$A70*Costeo!$C$116)+(0*Costeo!$D$116+0*Costeo!$E$116)*0.05)*2,0)-8)+(0*Costeo!$B$131+$A70*Costeo!$C$131+0*Costeo!$D$131+0*Costeo!$E$131))*Costeo!$B$54+IF((0*Costeo!$B$36+$A70*Costeo!$C$36)&lt;=2000,10,IF((0*Costeo!$B$36+$A70*Costeo!$C$36)&lt;=5000,15,IF((0*Costeo!$B$36+$A70*Costeo!$C$36)&lt;=10000,60,110)))-10)*Costeo!$B$51,2))+(ROUND((MAX(0,(0*Costeo!$B$130+$A70*Costeo!$C$130+0*Costeo!$D$130+0*Costeo!$E$130)+20*2*2*Costeo!$B$69+30*(1/3600*Costeo!$B$55+5/3600*Costeo!$B$56)-Costeo!$B$58)+IF(AND((0*Costeo!$B$120+$A70*Costeo!$C$120+0*Costeo!$D$120+0*Costeo!$E$120)&lt;=1000000,(0*Costeo!$B$119+$A70*Costeo!$C$119+0*Costeo!$D$119+0*Costeo!$E$119)&lt;=1000),0,IF((0*Costeo!$B$120+$A70*Costeo!$C$120+0*Costeo!$D$120+0*Costeo!$E$120)&lt;=10000000,20,IF((0*Costeo!$B$120+$A70*Costeo!$C$120+0*Costeo!$D$120+0*Costeo!$E$120)&lt;=50000000,100,300)))+MAX(0,ROUNDUP((0*Costeo!$B$36+$A70*Costeo!$C$36+0*Costeo!$D$36+0*Costeo!$E$36)/5000,0)-1)*Costeo!$B$62+IF((0*Costeo!$B$36+$A70*Costeo!$C$36+0*Costeo!$D$36+0*Costeo!$E$36)&gt;5000,32-Costeo!$B$61,0))*Costeo!$B$51,2))))&gt;=0),$A70,1000000000)</f>
        <v>19</v>
      </c>
      <c r="D70" s="121">
        <f>IF(AND($A70*Costeo!$D$36&lt;=10000,(($A70)*$D$11-$B$4-((ROUND((MAX(0,(0*Costeo!$B$117+0*Costeo!$C$117+$A70*Costeo!$D$117+0*Costeo!$E$117)-100)*Costeo!$B$53+MAX(0,(0*Costeo!$B$118+0*Costeo!$C$118+$A70*Costeo!$D$118+0*Costeo!$E$118)-250)*Costeo!$B$52+(MAX(0,ROUNDUP(((0*Costeo!$B$116+0*Costeo!$C$116)+($A70*Costeo!$D$116+0*Costeo!$E$116)*0.05)*2,0)-8)+(0*Costeo!$B$131+0*Costeo!$C$131+$A70*Costeo!$D$131+0*Costeo!$E$131))*Costeo!$B$54+IF((0*Costeo!$B$36+0*Costeo!$C$36)&lt;=2000,10,IF((0*Costeo!$B$36+0*Costeo!$C$36)&lt;=5000,15,IF((0*Costeo!$B$36+0*Costeo!$C$36)&lt;=10000,60,110)))-10)*Costeo!$B$51,2))+(ROUND((MAX(0,(0*Costeo!$B$130+0*Costeo!$C$130+$A70*Costeo!$D$130+0*Costeo!$E$130)+20*2*2*Costeo!$B$69+30*(1/3600*Costeo!$B$55+5/3600*Costeo!$B$56)-Costeo!$B$58)+IF(AND((0*Costeo!$B$120+0*Costeo!$C$120+$A70*Costeo!$D$120+0*Costeo!$E$120)&lt;=1000000,(0*Costeo!$B$119+0*Costeo!$C$119+$A70*Costeo!$D$119+0*Costeo!$E$119)&lt;=1000),0,IF((0*Costeo!$B$120+0*Costeo!$C$120+$A70*Costeo!$D$120+0*Costeo!$E$120)&lt;=10000000,20,IF((0*Costeo!$B$120+0*Costeo!$C$120+$A70*Costeo!$D$120+0*Costeo!$E$120)&lt;=50000000,100,300)))+MAX(0,ROUNDUP((0*Costeo!$B$36+0*Costeo!$C$36+$A70*Costeo!$D$36+0*Costeo!$E$36)/5000,0)-1)*Costeo!$B$62+IF((0*Costeo!$B$36+0*Costeo!$C$36+$A70*Costeo!$D$36+0*Costeo!$E$36)&gt;5000,32-Costeo!$B$61,0))*Costeo!$B$51,2))))&gt;=0),$A70,1000000000)</f>
        <v>19</v>
      </c>
      <c r="E70" s="121">
        <f>IF(AND($A70*Costeo!$E$36&lt;=10000,(($A70)*$D$12-$B$4-((ROUND((MAX(0,(0*Costeo!$B$117+0*Costeo!$C$117+0*Costeo!$D$117+$A70*Costeo!$E$117)-100)*Costeo!$B$53+MAX(0,(0*Costeo!$B$118+0*Costeo!$C$118+0*Costeo!$D$118+$A70*Costeo!$E$118)-250)*Costeo!$B$52+(MAX(0,ROUNDUP(((0*Costeo!$B$116+0*Costeo!$C$116)+(0*Costeo!$D$116+$A70*Costeo!$E$116)*0.05)*2,0)-8)+(0*Costeo!$B$131+0*Costeo!$C$131+0*Costeo!$D$131+$A70*Costeo!$E$131))*Costeo!$B$54+IF((0*Costeo!$B$36+0*Costeo!$C$36)&lt;=2000,10,IF((0*Costeo!$B$36+0*Costeo!$C$36)&lt;=5000,15,IF((0*Costeo!$B$36+0*Costeo!$C$36)&lt;=10000,60,110)))-10)*Costeo!$B$51,2))+(ROUND((MAX(0,(0*Costeo!$B$130+0*Costeo!$C$130+0*Costeo!$D$130+$A70*Costeo!$E$130)+20*2*2*Costeo!$B$69+30*(1/3600*Costeo!$B$55+5/3600*Costeo!$B$56)-Costeo!$B$58)+IF(AND((0*Costeo!$B$120+0*Costeo!$C$120+0*Costeo!$D$120+$A70*Costeo!$E$120)&lt;=1000000,(0*Costeo!$B$119+0*Costeo!$C$119+0*Costeo!$D$119+$A70*Costeo!$E$119)&lt;=1000),0,IF((0*Costeo!$B$120+0*Costeo!$C$120+0*Costeo!$D$120+$A70*Costeo!$E$120)&lt;=10000000,20,IF((0*Costeo!$B$120+0*Costeo!$C$120+0*Costeo!$D$120+$A70*Costeo!$E$120)&lt;=50000000,100,300)))+MAX(0,ROUNDUP((0*Costeo!$B$36+0*Costeo!$C$36+0*Costeo!$D$36+$A70*Costeo!$E$36)/5000,0)-1)*Costeo!$B$62+IF((0*Costeo!$B$36+0*Costeo!$C$36+0*Costeo!$D$36+$A70*Costeo!$E$36)&gt;5000,32-Costeo!$B$61,0))*Costeo!$B$51,2))))&gt;=0),$A70,1000000000)</f>
        <v>1000000000</v>
      </c>
    </row>
    <row r="71" hidden="1" outlineLevel="1" ht="30" customHeight="1" s="61">
      <c r="A71" s="52" t="n">
        <v>20</v>
      </c>
      <c r="B71" s="121">
        <f>IF(AND($A71*Costeo!$B$36&lt;=10000,(($A71)*$D$9-$B$4-((ROUND((MAX(0,($A71*Costeo!$B$117+0*Costeo!$C$117+0*Costeo!$D$117+0*Costeo!$E$117)-100)*Costeo!$B$53+MAX(0,($A71*Costeo!$B$118+0*Costeo!$C$118+0*Costeo!$D$118+0*Costeo!$E$118)-250)*Costeo!$B$52+(MAX(0,ROUNDUP((($A71*Costeo!$B$116+0*Costeo!$C$116)+(0*Costeo!$D$116+0*Costeo!$E$116)*0.05)*2,0)-8)+($A71*Costeo!$B$131+0*Costeo!$C$131+0*Costeo!$D$131+0*Costeo!$E$131))*Costeo!$B$54+IF(($A71*Costeo!$B$36+0*Costeo!$C$36)&lt;=2000,10,IF(($A71*Costeo!$B$36+0*Costeo!$C$36)&lt;=5000,15,IF(($A71*Costeo!$B$36+0*Costeo!$C$36)&lt;=10000,60,110)))-10)*Costeo!$B$51,2))+(ROUND((MAX(0,($A71*Costeo!$B$130+0*Costeo!$C$130+0*Costeo!$D$130+0*Costeo!$E$130)+20*2*2*Costeo!$B$69+30*(1/3600*Costeo!$B$55+5/3600*Costeo!$B$56)-Costeo!$B$58)+IF(AND(($A71*Costeo!$B$120+0*Costeo!$C$120+0*Costeo!$D$120+0*Costeo!$E$120)&lt;=1000000,($A71*Costeo!$B$119+0*Costeo!$C$119+0*Costeo!$D$119+0*Costeo!$E$119)&lt;=1000),0,IF(($A71*Costeo!$B$120+0*Costeo!$C$120+0*Costeo!$D$120+0*Costeo!$E$120)&lt;=10000000,20,IF(($A71*Costeo!$B$120+0*Costeo!$C$120+0*Costeo!$D$120+0*Costeo!$E$120)&lt;=50000000,100,300)))+MAX(0,ROUNDUP(($A71*Costeo!$B$36+0*Costeo!$C$36+0*Costeo!$D$36+0*Costeo!$E$36)/5000,0)-1)*Costeo!$B$62+IF(($A71*Costeo!$B$36+0*Costeo!$C$36+0*Costeo!$D$36+0*Costeo!$E$36)&gt;5000,32-Costeo!$B$61,0))*Costeo!$B$51,2))))&gt;=0),$A71,1000000000)</f>
        <v>20</v>
      </c>
      <c r="C71" s="121">
        <f>IF(AND($A71*Costeo!$C$36&lt;=10000,(($A71)*$D$10-$B$4-((ROUND((MAX(0,(0*Costeo!$B$117+$A71*Costeo!$C$117+0*Costeo!$D$117+0*Costeo!$E$117)-100)*Costeo!$B$53+MAX(0,(0*Costeo!$B$118+$A71*Costeo!$C$118+0*Costeo!$D$118+0*Costeo!$E$118)-250)*Costeo!$B$52+(MAX(0,ROUNDUP(((0*Costeo!$B$116+$A71*Costeo!$C$116)+(0*Costeo!$D$116+0*Costeo!$E$116)*0.05)*2,0)-8)+(0*Costeo!$B$131+$A71*Costeo!$C$131+0*Costeo!$D$131+0*Costeo!$E$131))*Costeo!$B$54+IF((0*Costeo!$B$36+$A71*Costeo!$C$36)&lt;=2000,10,IF((0*Costeo!$B$36+$A71*Costeo!$C$36)&lt;=5000,15,IF((0*Costeo!$B$36+$A71*Costeo!$C$36)&lt;=10000,60,110)))-10)*Costeo!$B$51,2))+(ROUND((MAX(0,(0*Costeo!$B$130+$A71*Costeo!$C$130+0*Costeo!$D$130+0*Costeo!$E$130)+20*2*2*Costeo!$B$69+30*(1/3600*Costeo!$B$55+5/3600*Costeo!$B$56)-Costeo!$B$58)+IF(AND((0*Costeo!$B$120+$A71*Costeo!$C$120+0*Costeo!$D$120+0*Costeo!$E$120)&lt;=1000000,(0*Costeo!$B$119+$A71*Costeo!$C$119+0*Costeo!$D$119+0*Costeo!$E$119)&lt;=1000),0,IF((0*Costeo!$B$120+$A71*Costeo!$C$120+0*Costeo!$D$120+0*Costeo!$E$120)&lt;=10000000,20,IF((0*Costeo!$B$120+$A71*Costeo!$C$120+0*Costeo!$D$120+0*Costeo!$E$120)&lt;=50000000,100,300)))+MAX(0,ROUNDUP((0*Costeo!$B$36+$A71*Costeo!$C$36+0*Costeo!$D$36+0*Costeo!$E$36)/5000,0)-1)*Costeo!$B$62+IF((0*Costeo!$B$36+$A71*Costeo!$C$36+0*Costeo!$D$36+0*Costeo!$E$36)&gt;5000,32-Costeo!$B$61,0))*Costeo!$B$51,2))))&gt;=0),$A71,1000000000)</f>
        <v>20</v>
      </c>
      <c r="D71" s="121">
        <f>IF(AND($A71*Costeo!$D$36&lt;=10000,(($A71)*$D$11-$B$4-((ROUND((MAX(0,(0*Costeo!$B$117+0*Costeo!$C$117+$A71*Costeo!$D$117+0*Costeo!$E$117)-100)*Costeo!$B$53+MAX(0,(0*Costeo!$B$118+0*Costeo!$C$118+$A71*Costeo!$D$118+0*Costeo!$E$118)-250)*Costeo!$B$52+(MAX(0,ROUNDUP(((0*Costeo!$B$116+0*Costeo!$C$116)+($A71*Costeo!$D$116+0*Costeo!$E$116)*0.05)*2,0)-8)+(0*Costeo!$B$131+0*Costeo!$C$131+$A71*Costeo!$D$131+0*Costeo!$E$131))*Costeo!$B$54+IF((0*Costeo!$B$36+0*Costeo!$C$36)&lt;=2000,10,IF((0*Costeo!$B$36+0*Costeo!$C$36)&lt;=5000,15,IF((0*Costeo!$B$36+0*Costeo!$C$36)&lt;=10000,60,110)))-10)*Costeo!$B$51,2))+(ROUND((MAX(0,(0*Costeo!$B$130+0*Costeo!$C$130+$A71*Costeo!$D$130+0*Costeo!$E$130)+20*2*2*Costeo!$B$69+30*(1/3600*Costeo!$B$55+5/3600*Costeo!$B$56)-Costeo!$B$58)+IF(AND((0*Costeo!$B$120+0*Costeo!$C$120+$A71*Costeo!$D$120+0*Costeo!$E$120)&lt;=1000000,(0*Costeo!$B$119+0*Costeo!$C$119+$A71*Costeo!$D$119+0*Costeo!$E$119)&lt;=1000),0,IF((0*Costeo!$B$120+0*Costeo!$C$120+$A71*Costeo!$D$120+0*Costeo!$E$120)&lt;=10000000,20,IF((0*Costeo!$B$120+0*Costeo!$C$120+$A71*Costeo!$D$120+0*Costeo!$E$120)&lt;=50000000,100,300)))+MAX(0,ROUNDUP((0*Costeo!$B$36+0*Costeo!$C$36+$A71*Costeo!$D$36+0*Costeo!$E$36)/5000,0)-1)*Costeo!$B$62+IF((0*Costeo!$B$36+0*Costeo!$C$36+$A71*Costeo!$D$36+0*Costeo!$E$36)&gt;5000,32-Costeo!$B$61,0))*Costeo!$B$51,2))))&gt;=0),$A71,1000000000)</f>
        <v>20</v>
      </c>
      <c r="E71" s="121">
        <f>IF(AND($A71*Costeo!$E$36&lt;=10000,(($A71)*$D$12-$B$4-((ROUND((MAX(0,(0*Costeo!$B$117+0*Costeo!$C$117+0*Costeo!$D$117+$A71*Costeo!$E$117)-100)*Costeo!$B$53+MAX(0,(0*Costeo!$B$118+0*Costeo!$C$118+0*Costeo!$D$118+$A71*Costeo!$E$118)-250)*Costeo!$B$52+(MAX(0,ROUNDUP(((0*Costeo!$B$116+0*Costeo!$C$116)+(0*Costeo!$D$116+$A71*Costeo!$E$116)*0.05)*2,0)-8)+(0*Costeo!$B$131+0*Costeo!$C$131+0*Costeo!$D$131+$A71*Costeo!$E$131))*Costeo!$B$54+IF((0*Costeo!$B$36+0*Costeo!$C$36)&lt;=2000,10,IF((0*Costeo!$B$36+0*Costeo!$C$36)&lt;=5000,15,IF((0*Costeo!$B$36+0*Costeo!$C$36)&lt;=10000,60,110)))-10)*Costeo!$B$51,2))+(ROUND((MAX(0,(0*Costeo!$B$130+0*Costeo!$C$130+0*Costeo!$D$130+$A71*Costeo!$E$130)+20*2*2*Costeo!$B$69+30*(1/3600*Costeo!$B$55+5/3600*Costeo!$B$56)-Costeo!$B$58)+IF(AND((0*Costeo!$B$120+0*Costeo!$C$120+0*Costeo!$D$120+$A71*Costeo!$E$120)&lt;=1000000,(0*Costeo!$B$119+0*Costeo!$C$119+0*Costeo!$D$119+$A71*Costeo!$E$119)&lt;=1000),0,IF((0*Costeo!$B$120+0*Costeo!$C$120+0*Costeo!$D$120+$A71*Costeo!$E$120)&lt;=10000000,20,IF((0*Costeo!$B$120+0*Costeo!$C$120+0*Costeo!$D$120+$A71*Costeo!$E$120)&lt;=50000000,100,300)))+MAX(0,ROUNDUP((0*Costeo!$B$36+0*Costeo!$C$36+0*Costeo!$D$36+$A71*Costeo!$E$36)/5000,0)-1)*Costeo!$B$62+IF((0*Costeo!$B$36+0*Costeo!$C$36+0*Costeo!$D$36+$A71*Costeo!$E$36)&gt;5000,32-Costeo!$B$61,0))*Costeo!$B$51,2))))&gt;=0),$A71,1000000000)</f>
        <v>1000000000</v>
      </c>
    </row>
    <row r="72" hidden="1" outlineLevel="1" ht="30" customHeight="1" s="61">
      <c r="A72" s="52" t="n">
        <v>21</v>
      </c>
      <c r="B72" s="121">
        <f>IF(AND($A72*Costeo!$B$36&lt;=10000,(($A72)*$D$9-$B$4-((ROUND((MAX(0,($A72*Costeo!$B$117+0*Costeo!$C$117+0*Costeo!$D$117+0*Costeo!$E$117)-100)*Costeo!$B$53+MAX(0,($A72*Costeo!$B$118+0*Costeo!$C$118+0*Costeo!$D$118+0*Costeo!$E$118)-250)*Costeo!$B$52+(MAX(0,ROUNDUP((($A72*Costeo!$B$116+0*Costeo!$C$116)+(0*Costeo!$D$116+0*Costeo!$E$116)*0.05)*2,0)-8)+($A72*Costeo!$B$131+0*Costeo!$C$131+0*Costeo!$D$131+0*Costeo!$E$131))*Costeo!$B$54+IF(($A72*Costeo!$B$36+0*Costeo!$C$36)&lt;=2000,10,IF(($A72*Costeo!$B$36+0*Costeo!$C$36)&lt;=5000,15,IF(($A72*Costeo!$B$36+0*Costeo!$C$36)&lt;=10000,60,110)))-10)*Costeo!$B$51,2))+(ROUND((MAX(0,($A72*Costeo!$B$130+0*Costeo!$C$130+0*Costeo!$D$130+0*Costeo!$E$130)+20*2*2*Costeo!$B$69+30*(1/3600*Costeo!$B$55+5/3600*Costeo!$B$56)-Costeo!$B$58)+IF(AND(($A72*Costeo!$B$120+0*Costeo!$C$120+0*Costeo!$D$120+0*Costeo!$E$120)&lt;=1000000,($A72*Costeo!$B$119+0*Costeo!$C$119+0*Costeo!$D$119+0*Costeo!$E$119)&lt;=1000),0,IF(($A72*Costeo!$B$120+0*Costeo!$C$120+0*Costeo!$D$120+0*Costeo!$E$120)&lt;=10000000,20,IF(($A72*Costeo!$B$120+0*Costeo!$C$120+0*Costeo!$D$120+0*Costeo!$E$120)&lt;=50000000,100,300)))+MAX(0,ROUNDUP(($A72*Costeo!$B$36+0*Costeo!$C$36+0*Costeo!$D$36+0*Costeo!$E$36)/5000,0)-1)*Costeo!$B$62+IF(($A72*Costeo!$B$36+0*Costeo!$C$36+0*Costeo!$D$36+0*Costeo!$E$36)&gt;5000,32-Costeo!$B$61,0))*Costeo!$B$51,2))))&gt;=0),$A72,1000000000)</f>
        <v>21</v>
      </c>
      <c r="C72" s="121">
        <f>IF(AND($A72*Costeo!$C$36&lt;=10000,(($A72)*$D$10-$B$4-((ROUND((MAX(0,(0*Costeo!$B$117+$A72*Costeo!$C$117+0*Costeo!$D$117+0*Costeo!$E$117)-100)*Costeo!$B$53+MAX(0,(0*Costeo!$B$118+$A72*Costeo!$C$118+0*Costeo!$D$118+0*Costeo!$E$118)-250)*Costeo!$B$52+(MAX(0,ROUNDUP(((0*Costeo!$B$116+$A72*Costeo!$C$116)+(0*Costeo!$D$116+0*Costeo!$E$116)*0.05)*2,0)-8)+(0*Costeo!$B$131+$A72*Costeo!$C$131+0*Costeo!$D$131+0*Costeo!$E$131))*Costeo!$B$54+IF((0*Costeo!$B$36+$A72*Costeo!$C$36)&lt;=2000,10,IF((0*Costeo!$B$36+$A72*Costeo!$C$36)&lt;=5000,15,IF((0*Costeo!$B$36+$A72*Costeo!$C$36)&lt;=10000,60,110)))-10)*Costeo!$B$51,2))+(ROUND((MAX(0,(0*Costeo!$B$130+$A72*Costeo!$C$130+0*Costeo!$D$130+0*Costeo!$E$130)+20*2*2*Costeo!$B$69+30*(1/3600*Costeo!$B$55+5/3600*Costeo!$B$56)-Costeo!$B$58)+IF(AND((0*Costeo!$B$120+$A72*Costeo!$C$120+0*Costeo!$D$120+0*Costeo!$E$120)&lt;=1000000,(0*Costeo!$B$119+$A72*Costeo!$C$119+0*Costeo!$D$119+0*Costeo!$E$119)&lt;=1000),0,IF((0*Costeo!$B$120+$A72*Costeo!$C$120+0*Costeo!$D$120+0*Costeo!$E$120)&lt;=10000000,20,IF((0*Costeo!$B$120+$A72*Costeo!$C$120+0*Costeo!$D$120+0*Costeo!$E$120)&lt;=50000000,100,300)))+MAX(0,ROUNDUP((0*Costeo!$B$36+$A72*Costeo!$C$36+0*Costeo!$D$36+0*Costeo!$E$36)/5000,0)-1)*Costeo!$B$62+IF((0*Costeo!$B$36+$A72*Costeo!$C$36+0*Costeo!$D$36+0*Costeo!$E$36)&gt;5000,32-Costeo!$B$61,0))*Costeo!$B$51,2))))&gt;=0),$A72,1000000000)</f>
        <v>21</v>
      </c>
      <c r="D72" s="121">
        <f>IF(AND($A72*Costeo!$D$36&lt;=10000,(($A72)*$D$11-$B$4-((ROUND((MAX(0,(0*Costeo!$B$117+0*Costeo!$C$117+$A72*Costeo!$D$117+0*Costeo!$E$117)-100)*Costeo!$B$53+MAX(0,(0*Costeo!$B$118+0*Costeo!$C$118+$A72*Costeo!$D$118+0*Costeo!$E$118)-250)*Costeo!$B$52+(MAX(0,ROUNDUP(((0*Costeo!$B$116+0*Costeo!$C$116)+($A72*Costeo!$D$116+0*Costeo!$E$116)*0.05)*2,0)-8)+(0*Costeo!$B$131+0*Costeo!$C$131+$A72*Costeo!$D$131+0*Costeo!$E$131))*Costeo!$B$54+IF((0*Costeo!$B$36+0*Costeo!$C$36)&lt;=2000,10,IF((0*Costeo!$B$36+0*Costeo!$C$36)&lt;=5000,15,IF((0*Costeo!$B$36+0*Costeo!$C$36)&lt;=10000,60,110)))-10)*Costeo!$B$51,2))+(ROUND((MAX(0,(0*Costeo!$B$130+0*Costeo!$C$130+$A72*Costeo!$D$130+0*Costeo!$E$130)+20*2*2*Costeo!$B$69+30*(1/3600*Costeo!$B$55+5/3600*Costeo!$B$56)-Costeo!$B$58)+IF(AND((0*Costeo!$B$120+0*Costeo!$C$120+$A72*Costeo!$D$120+0*Costeo!$E$120)&lt;=1000000,(0*Costeo!$B$119+0*Costeo!$C$119+$A72*Costeo!$D$119+0*Costeo!$E$119)&lt;=1000),0,IF((0*Costeo!$B$120+0*Costeo!$C$120+$A72*Costeo!$D$120+0*Costeo!$E$120)&lt;=10000000,20,IF((0*Costeo!$B$120+0*Costeo!$C$120+$A72*Costeo!$D$120+0*Costeo!$E$120)&lt;=50000000,100,300)))+MAX(0,ROUNDUP((0*Costeo!$B$36+0*Costeo!$C$36+$A72*Costeo!$D$36+0*Costeo!$E$36)/5000,0)-1)*Costeo!$B$62+IF((0*Costeo!$B$36+0*Costeo!$C$36+$A72*Costeo!$D$36+0*Costeo!$E$36)&gt;5000,32-Costeo!$B$61,0))*Costeo!$B$51,2))))&gt;=0),$A72,1000000000)</f>
        <v>1000000000</v>
      </c>
      <c r="E72" s="121">
        <f>IF(AND($A72*Costeo!$E$36&lt;=10000,(($A72)*$D$12-$B$4-((ROUND((MAX(0,(0*Costeo!$B$117+0*Costeo!$C$117+0*Costeo!$D$117+$A72*Costeo!$E$117)-100)*Costeo!$B$53+MAX(0,(0*Costeo!$B$118+0*Costeo!$C$118+0*Costeo!$D$118+$A72*Costeo!$E$118)-250)*Costeo!$B$52+(MAX(0,ROUNDUP(((0*Costeo!$B$116+0*Costeo!$C$116)+(0*Costeo!$D$116+$A72*Costeo!$E$116)*0.05)*2,0)-8)+(0*Costeo!$B$131+0*Costeo!$C$131+0*Costeo!$D$131+$A72*Costeo!$E$131))*Costeo!$B$54+IF((0*Costeo!$B$36+0*Costeo!$C$36)&lt;=2000,10,IF((0*Costeo!$B$36+0*Costeo!$C$36)&lt;=5000,15,IF((0*Costeo!$B$36+0*Costeo!$C$36)&lt;=10000,60,110)))-10)*Costeo!$B$51,2))+(ROUND((MAX(0,(0*Costeo!$B$130+0*Costeo!$C$130+0*Costeo!$D$130+$A72*Costeo!$E$130)+20*2*2*Costeo!$B$69+30*(1/3600*Costeo!$B$55+5/3600*Costeo!$B$56)-Costeo!$B$58)+IF(AND((0*Costeo!$B$120+0*Costeo!$C$120+0*Costeo!$D$120+$A72*Costeo!$E$120)&lt;=1000000,(0*Costeo!$B$119+0*Costeo!$C$119+0*Costeo!$D$119+$A72*Costeo!$E$119)&lt;=1000),0,IF((0*Costeo!$B$120+0*Costeo!$C$120+0*Costeo!$D$120+$A72*Costeo!$E$120)&lt;=10000000,20,IF((0*Costeo!$B$120+0*Costeo!$C$120+0*Costeo!$D$120+$A72*Costeo!$E$120)&lt;=50000000,100,300)))+MAX(0,ROUNDUP((0*Costeo!$B$36+0*Costeo!$C$36+0*Costeo!$D$36+$A72*Costeo!$E$36)/5000,0)-1)*Costeo!$B$62+IF((0*Costeo!$B$36+0*Costeo!$C$36+0*Costeo!$D$36+$A72*Costeo!$E$36)&gt;5000,32-Costeo!$B$61,0))*Costeo!$B$51,2))))&gt;=0),$A72,1000000000)</f>
        <v>1000000000</v>
      </c>
    </row>
    <row r="73" hidden="1" outlineLevel="1" ht="30" customHeight="1" s="61">
      <c r="A73" s="52" t="n">
        <v>22</v>
      </c>
      <c r="B73" s="121">
        <f>IF(AND($A73*Costeo!$B$36&lt;=10000,(($A73)*$D$9-$B$4-((ROUND((MAX(0,($A73*Costeo!$B$117+0*Costeo!$C$117+0*Costeo!$D$117+0*Costeo!$E$117)-100)*Costeo!$B$53+MAX(0,($A73*Costeo!$B$118+0*Costeo!$C$118+0*Costeo!$D$118+0*Costeo!$E$118)-250)*Costeo!$B$52+(MAX(0,ROUNDUP((($A73*Costeo!$B$116+0*Costeo!$C$116)+(0*Costeo!$D$116+0*Costeo!$E$116)*0.05)*2,0)-8)+($A73*Costeo!$B$131+0*Costeo!$C$131+0*Costeo!$D$131+0*Costeo!$E$131))*Costeo!$B$54+IF(($A73*Costeo!$B$36+0*Costeo!$C$36)&lt;=2000,10,IF(($A73*Costeo!$B$36+0*Costeo!$C$36)&lt;=5000,15,IF(($A73*Costeo!$B$36+0*Costeo!$C$36)&lt;=10000,60,110)))-10)*Costeo!$B$51,2))+(ROUND((MAX(0,($A73*Costeo!$B$130+0*Costeo!$C$130+0*Costeo!$D$130+0*Costeo!$E$130)+20*2*2*Costeo!$B$69+30*(1/3600*Costeo!$B$55+5/3600*Costeo!$B$56)-Costeo!$B$58)+IF(AND(($A73*Costeo!$B$120+0*Costeo!$C$120+0*Costeo!$D$120+0*Costeo!$E$120)&lt;=1000000,($A73*Costeo!$B$119+0*Costeo!$C$119+0*Costeo!$D$119+0*Costeo!$E$119)&lt;=1000),0,IF(($A73*Costeo!$B$120+0*Costeo!$C$120+0*Costeo!$D$120+0*Costeo!$E$120)&lt;=10000000,20,IF(($A73*Costeo!$B$120+0*Costeo!$C$120+0*Costeo!$D$120+0*Costeo!$E$120)&lt;=50000000,100,300)))+MAX(0,ROUNDUP(($A73*Costeo!$B$36+0*Costeo!$C$36+0*Costeo!$D$36+0*Costeo!$E$36)/5000,0)-1)*Costeo!$B$62+IF(($A73*Costeo!$B$36+0*Costeo!$C$36+0*Costeo!$D$36+0*Costeo!$E$36)&gt;5000,32-Costeo!$B$61,0))*Costeo!$B$51,2))))&gt;=0),$A73,1000000000)</f>
        <v>22</v>
      </c>
      <c r="C73" s="121">
        <f>IF(AND($A73*Costeo!$C$36&lt;=10000,(($A73)*$D$10-$B$4-((ROUND((MAX(0,(0*Costeo!$B$117+$A73*Costeo!$C$117+0*Costeo!$D$117+0*Costeo!$E$117)-100)*Costeo!$B$53+MAX(0,(0*Costeo!$B$118+$A73*Costeo!$C$118+0*Costeo!$D$118+0*Costeo!$E$118)-250)*Costeo!$B$52+(MAX(0,ROUNDUP(((0*Costeo!$B$116+$A73*Costeo!$C$116)+(0*Costeo!$D$116+0*Costeo!$E$116)*0.05)*2,0)-8)+(0*Costeo!$B$131+$A73*Costeo!$C$131+0*Costeo!$D$131+0*Costeo!$E$131))*Costeo!$B$54+IF((0*Costeo!$B$36+$A73*Costeo!$C$36)&lt;=2000,10,IF((0*Costeo!$B$36+$A73*Costeo!$C$36)&lt;=5000,15,IF((0*Costeo!$B$36+$A73*Costeo!$C$36)&lt;=10000,60,110)))-10)*Costeo!$B$51,2))+(ROUND((MAX(0,(0*Costeo!$B$130+$A73*Costeo!$C$130+0*Costeo!$D$130+0*Costeo!$E$130)+20*2*2*Costeo!$B$69+30*(1/3600*Costeo!$B$55+5/3600*Costeo!$B$56)-Costeo!$B$58)+IF(AND((0*Costeo!$B$120+$A73*Costeo!$C$120+0*Costeo!$D$120+0*Costeo!$E$120)&lt;=1000000,(0*Costeo!$B$119+$A73*Costeo!$C$119+0*Costeo!$D$119+0*Costeo!$E$119)&lt;=1000),0,IF((0*Costeo!$B$120+$A73*Costeo!$C$120+0*Costeo!$D$120+0*Costeo!$E$120)&lt;=10000000,20,IF((0*Costeo!$B$120+$A73*Costeo!$C$120+0*Costeo!$D$120+0*Costeo!$E$120)&lt;=50000000,100,300)))+MAX(0,ROUNDUP((0*Costeo!$B$36+$A73*Costeo!$C$36+0*Costeo!$D$36+0*Costeo!$E$36)/5000,0)-1)*Costeo!$B$62+IF((0*Costeo!$B$36+$A73*Costeo!$C$36+0*Costeo!$D$36+0*Costeo!$E$36)&gt;5000,32-Costeo!$B$61,0))*Costeo!$B$51,2))))&gt;=0),$A73,1000000000)</f>
        <v>22</v>
      </c>
      <c r="D73" s="121">
        <f>IF(AND($A73*Costeo!$D$36&lt;=10000,(($A73)*$D$11-$B$4-((ROUND((MAX(0,(0*Costeo!$B$117+0*Costeo!$C$117+$A73*Costeo!$D$117+0*Costeo!$E$117)-100)*Costeo!$B$53+MAX(0,(0*Costeo!$B$118+0*Costeo!$C$118+$A73*Costeo!$D$118+0*Costeo!$E$118)-250)*Costeo!$B$52+(MAX(0,ROUNDUP(((0*Costeo!$B$116+0*Costeo!$C$116)+($A73*Costeo!$D$116+0*Costeo!$E$116)*0.05)*2,0)-8)+(0*Costeo!$B$131+0*Costeo!$C$131+$A73*Costeo!$D$131+0*Costeo!$E$131))*Costeo!$B$54+IF((0*Costeo!$B$36+0*Costeo!$C$36)&lt;=2000,10,IF((0*Costeo!$B$36+0*Costeo!$C$36)&lt;=5000,15,IF((0*Costeo!$B$36+0*Costeo!$C$36)&lt;=10000,60,110)))-10)*Costeo!$B$51,2))+(ROUND((MAX(0,(0*Costeo!$B$130+0*Costeo!$C$130+$A73*Costeo!$D$130+0*Costeo!$E$130)+20*2*2*Costeo!$B$69+30*(1/3600*Costeo!$B$55+5/3600*Costeo!$B$56)-Costeo!$B$58)+IF(AND((0*Costeo!$B$120+0*Costeo!$C$120+$A73*Costeo!$D$120+0*Costeo!$E$120)&lt;=1000000,(0*Costeo!$B$119+0*Costeo!$C$119+$A73*Costeo!$D$119+0*Costeo!$E$119)&lt;=1000),0,IF((0*Costeo!$B$120+0*Costeo!$C$120+$A73*Costeo!$D$120+0*Costeo!$E$120)&lt;=10000000,20,IF((0*Costeo!$B$120+0*Costeo!$C$120+$A73*Costeo!$D$120+0*Costeo!$E$120)&lt;=50000000,100,300)))+MAX(0,ROUNDUP((0*Costeo!$B$36+0*Costeo!$C$36+$A73*Costeo!$D$36+0*Costeo!$E$36)/5000,0)-1)*Costeo!$B$62+IF((0*Costeo!$B$36+0*Costeo!$C$36+$A73*Costeo!$D$36+0*Costeo!$E$36)&gt;5000,32-Costeo!$B$61,0))*Costeo!$B$51,2))))&gt;=0),$A73,1000000000)</f>
        <v>1000000000</v>
      </c>
      <c r="E73" s="121">
        <f>IF(AND($A73*Costeo!$E$36&lt;=10000,(($A73)*$D$12-$B$4-((ROUND((MAX(0,(0*Costeo!$B$117+0*Costeo!$C$117+0*Costeo!$D$117+$A73*Costeo!$E$117)-100)*Costeo!$B$53+MAX(0,(0*Costeo!$B$118+0*Costeo!$C$118+0*Costeo!$D$118+$A73*Costeo!$E$118)-250)*Costeo!$B$52+(MAX(0,ROUNDUP(((0*Costeo!$B$116+0*Costeo!$C$116)+(0*Costeo!$D$116+$A73*Costeo!$E$116)*0.05)*2,0)-8)+(0*Costeo!$B$131+0*Costeo!$C$131+0*Costeo!$D$131+$A73*Costeo!$E$131))*Costeo!$B$54+IF((0*Costeo!$B$36+0*Costeo!$C$36)&lt;=2000,10,IF((0*Costeo!$B$36+0*Costeo!$C$36)&lt;=5000,15,IF((0*Costeo!$B$36+0*Costeo!$C$36)&lt;=10000,60,110)))-10)*Costeo!$B$51,2))+(ROUND((MAX(0,(0*Costeo!$B$130+0*Costeo!$C$130+0*Costeo!$D$130+$A73*Costeo!$E$130)+20*2*2*Costeo!$B$69+30*(1/3600*Costeo!$B$55+5/3600*Costeo!$B$56)-Costeo!$B$58)+IF(AND((0*Costeo!$B$120+0*Costeo!$C$120+0*Costeo!$D$120+$A73*Costeo!$E$120)&lt;=1000000,(0*Costeo!$B$119+0*Costeo!$C$119+0*Costeo!$D$119+$A73*Costeo!$E$119)&lt;=1000),0,IF((0*Costeo!$B$120+0*Costeo!$C$120+0*Costeo!$D$120+$A73*Costeo!$E$120)&lt;=10000000,20,IF((0*Costeo!$B$120+0*Costeo!$C$120+0*Costeo!$D$120+$A73*Costeo!$E$120)&lt;=50000000,100,300)))+MAX(0,ROUNDUP((0*Costeo!$B$36+0*Costeo!$C$36+0*Costeo!$D$36+$A73*Costeo!$E$36)/5000,0)-1)*Costeo!$B$62+IF((0*Costeo!$B$36+0*Costeo!$C$36+0*Costeo!$D$36+$A73*Costeo!$E$36)&gt;5000,32-Costeo!$B$61,0))*Costeo!$B$51,2))))&gt;=0),$A73,1000000000)</f>
        <v>1000000000</v>
      </c>
    </row>
    <row r="74" hidden="1" outlineLevel="1" ht="30" customHeight="1" s="61">
      <c r="A74" s="52" t="n">
        <v>23</v>
      </c>
      <c r="B74" s="121">
        <f>IF(AND($A74*Costeo!$B$36&lt;=10000,(($A74)*$D$9-$B$4-((ROUND((MAX(0,($A74*Costeo!$B$117+0*Costeo!$C$117+0*Costeo!$D$117+0*Costeo!$E$117)-100)*Costeo!$B$53+MAX(0,($A74*Costeo!$B$118+0*Costeo!$C$118+0*Costeo!$D$118+0*Costeo!$E$118)-250)*Costeo!$B$52+(MAX(0,ROUNDUP((($A74*Costeo!$B$116+0*Costeo!$C$116)+(0*Costeo!$D$116+0*Costeo!$E$116)*0.05)*2,0)-8)+($A74*Costeo!$B$131+0*Costeo!$C$131+0*Costeo!$D$131+0*Costeo!$E$131))*Costeo!$B$54+IF(($A74*Costeo!$B$36+0*Costeo!$C$36)&lt;=2000,10,IF(($A74*Costeo!$B$36+0*Costeo!$C$36)&lt;=5000,15,IF(($A74*Costeo!$B$36+0*Costeo!$C$36)&lt;=10000,60,110)))-10)*Costeo!$B$51,2))+(ROUND((MAX(0,($A74*Costeo!$B$130+0*Costeo!$C$130+0*Costeo!$D$130+0*Costeo!$E$130)+20*2*2*Costeo!$B$69+30*(1/3600*Costeo!$B$55+5/3600*Costeo!$B$56)-Costeo!$B$58)+IF(AND(($A74*Costeo!$B$120+0*Costeo!$C$120+0*Costeo!$D$120+0*Costeo!$E$120)&lt;=1000000,($A74*Costeo!$B$119+0*Costeo!$C$119+0*Costeo!$D$119+0*Costeo!$E$119)&lt;=1000),0,IF(($A74*Costeo!$B$120+0*Costeo!$C$120+0*Costeo!$D$120+0*Costeo!$E$120)&lt;=10000000,20,IF(($A74*Costeo!$B$120+0*Costeo!$C$120+0*Costeo!$D$120+0*Costeo!$E$120)&lt;=50000000,100,300)))+MAX(0,ROUNDUP(($A74*Costeo!$B$36+0*Costeo!$C$36+0*Costeo!$D$36+0*Costeo!$E$36)/5000,0)-1)*Costeo!$B$62+IF(($A74*Costeo!$B$36+0*Costeo!$C$36+0*Costeo!$D$36+0*Costeo!$E$36)&gt;5000,32-Costeo!$B$61,0))*Costeo!$B$51,2))))&gt;=0),$A74,1000000000)</f>
        <v>23</v>
      </c>
      <c r="C74" s="121">
        <f>IF(AND($A74*Costeo!$C$36&lt;=10000,(($A74)*$D$10-$B$4-((ROUND((MAX(0,(0*Costeo!$B$117+$A74*Costeo!$C$117+0*Costeo!$D$117+0*Costeo!$E$117)-100)*Costeo!$B$53+MAX(0,(0*Costeo!$B$118+$A74*Costeo!$C$118+0*Costeo!$D$118+0*Costeo!$E$118)-250)*Costeo!$B$52+(MAX(0,ROUNDUP(((0*Costeo!$B$116+$A74*Costeo!$C$116)+(0*Costeo!$D$116+0*Costeo!$E$116)*0.05)*2,0)-8)+(0*Costeo!$B$131+$A74*Costeo!$C$131+0*Costeo!$D$131+0*Costeo!$E$131))*Costeo!$B$54+IF((0*Costeo!$B$36+$A74*Costeo!$C$36)&lt;=2000,10,IF((0*Costeo!$B$36+$A74*Costeo!$C$36)&lt;=5000,15,IF((0*Costeo!$B$36+$A74*Costeo!$C$36)&lt;=10000,60,110)))-10)*Costeo!$B$51,2))+(ROUND((MAX(0,(0*Costeo!$B$130+$A74*Costeo!$C$130+0*Costeo!$D$130+0*Costeo!$E$130)+20*2*2*Costeo!$B$69+30*(1/3600*Costeo!$B$55+5/3600*Costeo!$B$56)-Costeo!$B$58)+IF(AND((0*Costeo!$B$120+$A74*Costeo!$C$120+0*Costeo!$D$120+0*Costeo!$E$120)&lt;=1000000,(0*Costeo!$B$119+$A74*Costeo!$C$119+0*Costeo!$D$119+0*Costeo!$E$119)&lt;=1000),0,IF((0*Costeo!$B$120+$A74*Costeo!$C$120+0*Costeo!$D$120+0*Costeo!$E$120)&lt;=10000000,20,IF((0*Costeo!$B$120+$A74*Costeo!$C$120+0*Costeo!$D$120+0*Costeo!$E$120)&lt;=50000000,100,300)))+MAX(0,ROUNDUP((0*Costeo!$B$36+$A74*Costeo!$C$36+0*Costeo!$D$36+0*Costeo!$E$36)/5000,0)-1)*Costeo!$B$62+IF((0*Costeo!$B$36+$A74*Costeo!$C$36+0*Costeo!$D$36+0*Costeo!$E$36)&gt;5000,32-Costeo!$B$61,0))*Costeo!$B$51,2))))&gt;=0),$A74,1000000000)</f>
        <v>23</v>
      </c>
      <c r="D74" s="121">
        <f>IF(AND($A74*Costeo!$D$36&lt;=10000,(($A74)*$D$11-$B$4-((ROUND((MAX(0,(0*Costeo!$B$117+0*Costeo!$C$117+$A74*Costeo!$D$117+0*Costeo!$E$117)-100)*Costeo!$B$53+MAX(0,(0*Costeo!$B$118+0*Costeo!$C$118+$A74*Costeo!$D$118+0*Costeo!$E$118)-250)*Costeo!$B$52+(MAX(0,ROUNDUP(((0*Costeo!$B$116+0*Costeo!$C$116)+($A74*Costeo!$D$116+0*Costeo!$E$116)*0.05)*2,0)-8)+(0*Costeo!$B$131+0*Costeo!$C$131+$A74*Costeo!$D$131+0*Costeo!$E$131))*Costeo!$B$54+IF((0*Costeo!$B$36+0*Costeo!$C$36)&lt;=2000,10,IF((0*Costeo!$B$36+0*Costeo!$C$36)&lt;=5000,15,IF((0*Costeo!$B$36+0*Costeo!$C$36)&lt;=10000,60,110)))-10)*Costeo!$B$51,2))+(ROUND((MAX(0,(0*Costeo!$B$130+0*Costeo!$C$130+$A74*Costeo!$D$130+0*Costeo!$E$130)+20*2*2*Costeo!$B$69+30*(1/3600*Costeo!$B$55+5/3600*Costeo!$B$56)-Costeo!$B$58)+IF(AND((0*Costeo!$B$120+0*Costeo!$C$120+$A74*Costeo!$D$120+0*Costeo!$E$120)&lt;=1000000,(0*Costeo!$B$119+0*Costeo!$C$119+$A74*Costeo!$D$119+0*Costeo!$E$119)&lt;=1000),0,IF((0*Costeo!$B$120+0*Costeo!$C$120+$A74*Costeo!$D$120+0*Costeo!$E$120)&lt;=10000000,20,IF((0*Costeo!$B$120+0*Costeo!$C$120+$A74*Costeo!$D$120+0*Costeo!$E$120)&lt;=50000000,100,300)))+MAX(0,ROUNDUP((0*Costeo!$B$36+0*Costeo!$C$36+$A74*Costeo!$D$36+0*Costeo!$E$36)/5000,0)-1)*Costeo!$B$62+IF((0*Costeo!$B$36+0*Costeo!$C$36+$A74*Costeo!$D$36+0*Costeo!$E$36)&gt;5000,32-Costeo!$B$61,0))*Costeo!$B$51,2))))&gt;=0),$A74,1000000000)</f>
        <v>1000000000</v>
      </c>
      <c r="E74" s="121">
        <f>IF(AND($A74*Costeo!$E$36&lt;=10000,(($A74)*$D$12-$B$4-((ROUND((MAX(0,(0*Costeo!$B$117+0*Costeo!$C$117+0*Costeo!$D$117+$A74*Costeo!$E$117)-100)*Costeo!$B$53+MAX(0,(0*Costeo!$B$118+0*Costeo!$C$118+0*Costeo!$D$118+$A74*Costeo!$E$118)-250)*Costeo!$B$52+(MAX(0,ROUNDUP(((0*Costeo!$B$116+0*Costeo!$C$116)+(0*Costeo!$D$116+$A74*Costeo!$E$116)*0.05)*2,0)-8)+(0*Costeo!$B$131+0*Costeo!$C$131+0*Costeo!$D$131+$A74*Costeo!$E$131))*Costeo!$B$54+IF((0*Costeo!$B$36+0*Costeo!$C$36)&lt;=2000,10,IF((0*Costeo!$B$36+0*Costeo!$C$36)&lt;=5000,15,IF((0*Costeo!$B$36+0*Costeo!$C$36)&lt;=10000,60,110)))-10)*Costeo!$B$51,2))+(ROUND((MAX(0,(0*Costeo!$B$130+0*Costeo!$C$130+0*Costeo!$D$130+$A74*Costeo!$E$130)+20*2*2*Costeo!$B$69+30*(1/3600*Costeo!$B$55+5/3600*Costeo!$B$56)-Costeo!$B$58)+IF(AND((0*Costeo!$B$120+0*Costeo!$C$120+0*Costeo!$D$120+$A74*Costeo!$E$120)&lt;=1000000,(0*Costeo!$B$119+0*Costeo!$C$119+0*Costeo!$D$119+$A74*Costeo!$E$119)&lt;=1000),0,IF((0*Costeo!$B$120+0*Costeo!$C$120+0*Costeo!$D$120+$A74*Costeo!$E$120)&lt;=10000000,20,IF((0*Costeo!$B$120+0*Costeo!$C$120+0*Costeo!$D$120+$A74*Costeo!$E$120)&lt;=50000000,100,300)))+MAX(0,ROUNDUP((0*Costeo!$B$36+0*Costeo!$C$36+0*Costeo!$D$36+$A74*Costeo!$E$36)/5000,0)-1)*Costeo!$B$62+IF((0*Costeo!$B$36+0*Costeo!$C$36+0*Costeo!$D$36+$A74*Costeo!$E$36)&gt;5000,32-Costeo!$B$61,0))*Costeo!$B$51,2))))&gt;=0),$A74,1000000000)</f>
        <v>1000000000</v>
      </c>
    </row>
    <row r="75" hidden="1" outlineLevel="1" ht="30" customHeight="1" s="61">
      <c r="A75" s="52" t="n">
        <v>24</v>
      </c>
      <c r="B75" s="121">
        <f>IF(AND($A75*Costeo!$B$36&lt;=10000,(($A75)*$D$9-$B$4-((ROUND((MAX(0,($A75*Costeo!$B$117+0*Costeo!$C$117+0*Costeo!$D$117+0*Costeo!$E$117)-100)*Costeo!$B$53+MAX(0,($A75*Costeo!$B$118+0*Costeo!$C$118+0*Costeo!$D$118+0*Costeo!$E$118)-250)*Costeo!$B$52+(MAX(0,ROUNDUP((($A75*Costeo!$B$116+0*Costeo!$C$116)+(0*Costeo!$D$116+0*Costeo!$E$116)*0.05)*2,0)-8)+($A75*Costeo!$B$131+0*Costeo!$C$131+0*Costeo!$D$131+0*Costeo!$E$131))*Costeo!$B$54+IF(($A75*Costeo!$B$36+0*Costeo!$C$36)&lt;=2000,10,IF(($A75*Costeo!$B$36+0*Costeo!$C$36)&lt;=5000,15,IF(($A75*Costeo!$B$36+0*Costeo!$C$36)&lt;=10000,60,110)))-10)*Costeo!$B$51,2))+(ROUND((MAX(0,($A75*Costeo!$B$130+0*Costeo!$C$130+0*Costeo!$D$130+0*Costeo!$E$130)+20*2*2*Costeo!$B$69+30*(1/3600*Costeo!$B$55+5/3600*Costeo!$B$56)-Costeo!$B$58)+IF(AND(($A75*Costeo!$B$120+0*Costeo!$C$120+0*Costeo!$D$120+0*Costeo!$E$120)&lt;=1000000,($A75*Costeo!$B$119+0*Costeo!$C$119+0*Costeo!$D$119+0*Costeo!$E$119)&lt;=1000),0,IF(($A75*Costeo!$B$120+0*Costeo!$C$120+0*Costeo!$D$120+0*Costeo!$E$120)&lt;=10000000,20,IF(($A75*Costeo!$B$120+0*Costeo!$C$120+0*Costeo!$D$120+0*Costeo!$E$120)&lt;=50000000,100,300)))+MAX(0,ROUNDUP(($A75*Costeo!$B$36+0*Costeo!$C$36+0*Costeo!$D$36+0*Costeo!$E$36)/5000,0)-1)*Costeo!$B$62+IF(($A75*Costeo!$B$36+0*Costeo!$C$36+0*Costeo!$D$36+0*Costeo!$E$36)&gt;5000,32-Costeo!$B$61,0))*Costeo!$B$51,2))))&gt;=0),$A75,1000000000)</f>
        <v>24</v>
      </c>
      <c r="C75" s="121">
        <f>IF(AND($A75*Costeo!$C$36&lt;=10000,(($A75)*$D$10-$B$4-((ROUND((MAX(0,(0*Costeo!$B$117+$A75*Costeo!$C$117+0*Costeo!$D$117+0*Costeo!$E$117)-100)*Costeo!$B$53+MAX(0,(0*Costeo!$B$118+$A75*Costeo!$C$118+0*Costeo!$D$118+0*Costeo!$E$118)-250)*Costeo!$B$52+(MAX(0,ROUNDUP(((0*Costeo!$B$116+$A75*Costeo!$C$116)+(0*Costeo!$D$116+0*Costeo!$E$116)*0.05)*2,0)-8)+(0*Costeo!$B$131+$A75*Costeo!$C$131+0*Costeo!$D$131+0*Costeo!$E$131))*Costeo!$B$54+IF((0*Costeo!$B$36+$A75*Costeo!$C$36)&lt;=2000,10,IF((0*Costeo!$B$36+$A75*Costeo!$C$36)&lt;=5000,15,IF((0*Costeo!$B$36+$A75*Costeo!$C$36)&lt;=10000,60,110)))-10)*Costeo!$B$51,2))+(ROUND((MAX(0,(0*Costeo!$B$130+$A75*Costeo!$C$130+0*Costeo!$D$130+0*Costeo!$E$130)+20*2*2*Costeo!$B$69+30*(1/3600*Costeo!$B$55+5/3600*Costeo!$B$56)-Costeo!$B$58)+IF(AND((0*Costeo!$B$120+$A75*Costeo!$C$120+0*Costeo!$D$120+0*Costeo!$E$120)&lt;=1000000,(0*Costeo!$B$119+$A75*Costeo!$C$119+0*Costeo!$D$119+0*Costeo!$E$119)&lt;=1000),0,IF((0*Costeo!$B$120+$A75*Costeo!$C$120+0*Costeo!$D$120+0*Costeo!$E$120)&lt;=10000000,20,IF((0*Costeo!$B$120+$A75*Costeo!$C$120+0*Costeo!$D$120+0*Costeo!$E$120)&lt;=50000000,100,300)))+MAX(0,ROUNDUP((0*Costeo!$B$36+$A75*Costeo!$C$36+0*Costeo!$D$36+0*Costeo!$E$36)/5000,0)-1)*Costeo!$B$62+IF((0*Costeo!$B$36+$A75*Costeo!$C$36+0*Costeo!$D$36+0*Costeo!$E$36)&gt;5000,32-Costeo!$B$61,0))*Costeo!$B$51,2))))&gt;=0),$A75,1000000000)</f>
        <v>24</v>
      </c>
      <c r="D75" s="121">
        <f>IF(AND($A75*Costeo!$D$36&lt;=10000,(($A75)*$D$11-$B$4-((ROUND((MAX(0,(0*Costeo!$B$117+0*Costeo!$C$117+$A75*Costeo!$D$117+0*Costeo!$E$117)-100)*Costeo!$B$53+MAX(0,(0*Costeo!$B$118+0*Costeo!$C$118+$A75*Costeo!$D$118+0*Costeo!$E$118)-250)*Costeo!$B$52+(MAX(0,ROUNDUP(((0*Costeo!$B$116+0*Costeo!$C$116)+($A75*Costeo!$D$116+0*Costeo!$E$116)*0.05)*2,0)-8)+(0*Costeo!$B$131+0*Costeo!$C$131+$A75*Costeo!$D$131+0*Costeo!$E$131))*Costeo!$B$54+IF((0*Costeo!$B$36+0*Costeo!$C$36)&lt;=2000,10,IF((0*Costeo!$B$36+0*Costeo!$C$36)&lt;=5000,15,IF((0*Costeo!$B$36+0*Costeo!$C$36)&lt;=10000,60,110)))-10)*Costeo!$B$51,2))+(ROUND((MAX(0,(0*Costeo!$B$130+0*Costeo!$C$130+$A75*Costeo!$D$130+0*Costeo!$E$130)+20*2*2*Costeo!$B$69+30*(1/3600*Costeo!$B$55+5/3600*Costeo!$B$56)-Costeo!$B$58)+IF(AND((0*Costeo!$B$120+0*Costeo!$C$120+$A75*Costeo!$D$120+0*Costeo!$E$120)&lt;=1000000,(0*Costeo!$B$119+0*Costeo!$C$119+$A75*Costeo!$D$119+0*Costeo!$E$119)&lt;=1000),0,IF((0*Costeo!$B$120+0*Costeo!$C$120+$A75*Costeo!$D$120+0*Costeo!$E$120)&lt;=10000000,20,IF((0*Costeo!$B$120+0*Costeo!$C$120+$A75*Costeo!$D$120+0*Costeo!$E$120)&lt;=50000000,100,300)))+MAX(0,ROUNDUP((0*Costeo!$B$36+0*Costeo!$C$36+$A75*Costeo!$D$36+0*Costeo!$E$36)/5000,0)-1)*Costeo!$B$62+IF((0*Costeo!$B$36+0*Costeo!$C$36+$A75*Costeo!$D$36+0*Costeo!$E$36)&gt;5000,32-Costeo!$B$61,0))*Costeo!$B$51,2))))&gt;=0),$A75,1000000000)</f>
        <v>1000000000</v>
      </c>
      <c r="E75" s="121">
        <f>IF(AND($A75*Costeo!$E$36&lt;=10000,(($A75)*$D$12-$B$4-((ROUND((MAX(0,(0*Costeo!$B$117+0*Costeo!$C$117+0*Costeo!$D$117+$A75*Costeo!$E$117)-100)*Costeo!$B$53+MAX(0,(0*Costeo!$B$118+0*Costeo!$C$118+0*Costeo!$D$118+$A75*Costeo!$E$118)-250)*Costeo!$B$52+(MAX(0,ROUNDUP(((0*Costeo!$B$116+0*Costeo!$C$116)+(0*Costeo!$D$116+$A75*Costeo!$E$116)*0.05)*2,0)-8)+(0*Costeo!$B$131+0*Costeo!$C$131+0*Costeo!$D$131+$A75*Costeo!$E$131))*Costeo!$B$54+IF((0*Costeo!$B$36+0*Costeo!$C$36)&lt;=2000,10,IF((0*Costeo!$B$36+0*Costeo!$C$36)&lt;=5000,15,IF((0*Costeo!$B$36+0*Costeo!$C$36)&lt;=10000,60,110)))-10)*Costeo!$B$51,2))+(ROUND((MAX(0,(0*Costeo!$B$130+0*Costeo!$C$130+0*Costeo!$D$130+$A75*Costeo!$E$130)+20*2*2*Costeo!$B$69+30*(1/3600*Costeo!$B$55+5/3600*Costeo!$B$56)-Costeo!$B$58)+IF(AND((0*Costeo!$B$120+0*Costeo!$C$120+0*Costeo!$D$120+$A75*Costeo!$E$120)&lt;=1000000,(0*Costeo!$B$119+0*Costeo!$C$119+0*Costeo!$D$119+$A75*Costeo!$E$119)&lt;=1000),0,IF((0*Costeo!$B$120+0*Costeo!$C$120+0*Costeo!$D$120+$A75*Costeo!$E$120)&lt;=10000000,20,IF((0*Costeo!$B$120+0*Costeo!$C$120+0*Costeo!$D$120+$A75*Costeo!$E$120)&lt;=50000000,100,300)))+MAX(0,ROUNDUP((0*Costeo!$B$36+0*Costeo!$C$36+0*Costeo!$D$36+$A75*Costeo!$E$36)/5000,0)-1)*Costeo!$B$62+IF((0*Costeo!$B$36+0*Costeo!$C$36+0*Costeo!$D$36+$A75*Costeo!$E$36)&gt;5000,32-Costeo!$B$61,0))*Costeo!$B$51,2))))&gt;=0),$A75,1000000000)</f>
        <v>1000000000</v>
      </c>
    </row>
    <row r="76" hidden="1" outlineLevel="1" ht="30" customHeight="1" s="61">
      <c r="A76" s="52" t="n">
        <v>25</v>
      </c>
      <c r="B76" s="121">
        <f>IF(AND($A76*Costeo!$B$36&lt;=10000,(($A76)*$D$9-$B$4-((ROUND((MAX(0,($A76*Costeo!$B$117+0*Costeo!$C$117+0*Costeo!$D$117+0*Costeo!$E$117)-100)*Costeo!$B$53+MAX(0,($A76*Costeo!$B$118+0*Costeo!$C$118+0*Costeo!$D$118+0*Costeo!$E$118)-250)*Costeo!$B$52+(MAX(0,ROUNDUP((($A76*Costeo!$B$116+0*Costeo!$C$116)+(0*Costeo!$D$116+0*Costeo!$E$116)*0.05)*2,0)-8)+($A76*Costeo!$B$131+0*Costeo!$C$131+0*Costeo!$D$131+0*Costeo!$E$131))*Costeo!$B$54+IF(($A76*Costeo!$B$36+0*Costeo!$C$36)&lt;=2000,10,IF(($A76*Costeo!$B$36+0*Costeo!$C$36)&lt;=5000,15,IF(($A76*Costeo!$B$36+0*Costeo!$C$36)&lt;=10000,60,110)))-10)*Costeo!$B$51,2))+(ROUND((MAX(0,($A76*Costeo!$B$130+0*Costeo!$C$130+0*Costeo!$D$130+0*Costeo!$E$130)+20*2*2*Costeo!$B$69+30*(1/3600*Costeo!$B$55+5/3600*Costeo!$B$56)-Costeo!$B$58)+IF(AND(($A76*Costeo!$B$120+0*Costeo!$C$120+0*Costeo!$D$120+0*Costeo!$E$120)&lt;=1000000,($A76*Costeo!$B$119+0*Costeo!$C$119+0*Costeo!$D$119+0*Costeo!$E$119)&lt;=1000),0,IF(($A76*Costeo!$B$120+0*Costeo!$C$120+0*Costeo!$D$120+0*Costeo!$E$120)&lt;=10000000,20,IF(($A76*Costeo!$B$120+0*Costeo!$C$120+0*Costeo!$D$120+0*Costeo!$E$120)&lt;=50000000,100,300)))+MAX(0,ROUNDUP(($A76*Costeo!$B$36+0*Costeo!$C$36+0*Costeo!$D$36+0*Costeo!$E$36)/5000,0)-1)*Costeo!$B$62+IF(($A76*Costeo!$B$36+0*Costeo!$C$36+0*Costeo!$D$36+0*Costeo!$E$36)&gt;5000,32-Costeo!$B$61,0))*Costeo!$B$51,2))))&gt;=0),$A76,1000000000)</f>
        <v>25</v>
      </c>
      <c r="C76" s="121">
        <f>IF(AND($A76*Costeo!$C$36&lt;=10000,(($A76)*$D$10-$B$4-((ROUND((MAX(0,(0*Costeo!$B$117+$A76*Costeo!$C$117+0*Costeo!$D$117+0*Costeo!$E$117)-100)*Costeo!$B$53+MAX(0,(0*Costeo!$B$118+$A76*Costeo!$C$118+0*Costeo!$D$118+0*Costeo!$E$118)-250)*Costeo!$B$52+(MAX(0,ROUNDUP(((0*Costeo!$B$116+$A76*Costeo!$C$116)+(0*Costeo!$D$116+0*Costeo!$E$116)*0.05)*2,0)-8)+(0*Costeo!$B$131+$A76*Costeo!$C$131+0*Costeo!$D$131+0*Costeo!$E$131))*Costeo!$B$54+IF((0*Costeo!$B$36+$A76*Costeo!$C$36)&lt;=2000,10,IF((0*Costeo!$B$36+$A76*Costeo!$C$36)&lt;=5000,15,IF((0*Costeo!$B$36+$A76*Costeo!$C$36)&lt;=10000,60,110)))-10)*Costeo!$B$51,2))+(ROUND((MAX(0,(0*Costeo!$B$130+$A76*Costeo!$C$130+0*Costeo!$D$130+0*Costeo!$E$130)+20*2*2*Costeo!$B$69+30*(1/3600*Costeo!$B$55+5/3600*Costeo!$B$56)-Costeo!$B$58)+IF(AND((0*Costeo!$B$120+$A76*Costeo!$C$120+0*Costeo!$D$120+0*Costeo!$E$120)&lt;=1000000,(0*Costeo!$B$119+$A76*Costeo!$C$119+0*Costeo!$D$119+0*Costeo!$E$119)&lt;=1000),0,IF((0*Costeo!$B$120+$A76*Costeo!$C$120+0*Costeo!$D$120+0*Costeo!$E$120)&lt;=10000000,20,IF((0*Costeo!$B$120+$A76*Costeo!$C$120+0*Costeo!$D$120+0*Costeo!$E$120)&lt;=50000000,100,300)))+MAX(0,ROUNDUP((0*Costeo!$B$36+$A76*Costeo!$C$36+0*Costeo!$D$36+0*Costeo!$E$36)/5000,0)-1)*Costeo!$B$62+IF((0*Costeo!$B$36+$A76*Costeo!$C$36+0*Costeo!$D$36+0*Costeo!$E$36)&gt;5000,32-Costeo!$B$61,0))*Costeo!$B$51,2))))&gt;=0),$A76,1000000000)</f>
        <v>25</v>
      </c>
      <c r="D76" s="121">
        <f>IF(AND($A76*Costeo!$D$36&lt;=10000,(($A76)*$D$11-$B$4-((ROUND((MAX(0,(0*Costeo!$B$117+0*Costeo!$C$117+$A76*Costeo!$D$117+0*Costeo!$E$117)-100)*Costeo!$B$53+MAX(0,(0*Costeo!$B$118+0*Costeo!$C$118+$A76*Costeo!$D$118+0*Costeo!$E$118)-250)*Costeo!$B$52+(MAX(0,ROUNDUP(((0*Costeo!$B$116+0*Costeo!$C$116)+($A76*Costeo!$D$116+0*Costeo!$E$116)*0.05)*2,0)-8)+(0*Costeo!$B$131+0*Costeo!$C$131+$A76*Costeo!$D$131+0*Costeo!$E$131))*Costeo!$B$54+IF((0*Costeo!$B$36+0*Costeo!$C$36)&lt;=2000,10,IF((0*Costeo!$B$36+0*Costeo!$C$36)&lt;=5000,15,IF((0*Costeo!$B$36+0*Costeo!$C$36)&lt;=10000,60,110)))-10)*Costeo!$B$51,2))+(ROUND((MAX(0,(0*Costeo!$B$130+0*Costeo!$C$130+$A76*Costeo!$D$130+0*Costeo!$E$130)+20*2*2*Costeo!$B$69+30*(1/3600*Costeo!$B$55+5/3600*Costeo!$B$56)-Costeo!$B$58)+IF(AND((0*Costeo!$B$120+0*Costeo!$C$120+$A76*Costeo!$D$120+0*Costeo!$E$120)&lt;=1000000,(0*Costeo!$B$119+0*Costeo!$C$119+$A76*Costeo!$D$119+0*Costeo!$E$119)&lt;=1000),0,IF((0*Costeo!$B$120+0*Costeo!$C$120+$A76*Costeo!$D$120+0*Costeo!$E$120)&lt;=10000000,20,IF((0*Costeo!$B$120+0*Costeo!$C$120+$A76*Costeo!$D$120+0*Costeo!$E$120)&lt;=50000000,100,300)))+MAX(0,ROUNDUP((0*Costeo!$B$36+0*Costeo!$C$36+$A76*Costeo!$D$36+0*Costeo!$E$36)/5000,0)-1)*Costeo!$B$62+IF((0*Costeo!$B$36+0*Costeo!$C$36+$A76*Costeo!$D$36+0*Costeo!$E$36)&gt;5000,32-Costeo!$B$61,0))*Costeo!$B$51,2))))&gt;=0),$A76,1000000000)</f>
        <v>1000000000</v>
      </c>
      <c r="E76" s="121">
        <f>IF(AND($A76*Costeo!$E$36&lt;=10000,(($A76)*$D$12-$B$4-((ROUND((MAX(0,(0*Costeo!$B$117+0*Costeo!$C$117+0*Costeo!$D$117+$A76*Costeo!$E$117)-100)*Costeo!$B$53+MAX(0,(0*Costeo!$B$118+0*Costeo!$C$118+0*Costeo!$D$118+$A76*Costeo!$E$118)-250)*Costeo!$B$52+(MAX(0,ROUNDUP(((0*Costeo!$B$116+0*Costeo!$C$116)+(0*Costeo!$D$116+$A76*Costeo!$E$116)*0.05)*2,0)-8)+(0*Costeo!$B$131+0*Costeo!$C$131+0*Costeo!$D$131+$A76*Costeo!$E$131))*Costeo!$B$54+IF((0*Costeo!$B$36+0*Costeo!$C$36)&lt;=2000,10,IF((0*Costeo!$B$36+0*Costeo!$C$36)&lt;=5000,15,IF((0*Costeo!$B$36+0*Costeo!$C$36)&lt;=10000,60,110)))-10)*Costeo!$B$51,2))+(ROUND((MAX(0,(0*Costeo!$B$130+0*Costeo!$C$130+0*Costeo!$D$130+$A76*Costeo!$E$130)+20*2*2*Costeo!$B$69+30*(1/3600*Costeo!$B$55+5/3600*Costeo!$B$56)-Costeo!$B$58)+IF(AND((0*Costeo!$B$120+0*Costeo!$C$120+0*Costeo!$D$120+$A76*Costeo!$E$120)&lt;=1000000,(0*Costeo!$B$119+0*Costeo!$C$119+0*Costeo!$D$119+$A76*Costeo!$E$119)&lt;=1000),0,IF((0*Costeo!$B$120+0*Costeo!$C$120+0*Costeo!$D$120+$A76*Costeo!$E$120)&lt;=10000000,20,IF((0*Costeo!$B$120+0*Costeo!$C$120+0*Costeo!$D$120+$A76*Costeo!$E$120)&lt;=50000000,100,300)))+MAX(0,ROUNDUP((0*Costeo!$B$36+0*Costeo!$C$36+0*Costeo!$D$36+$A76*Costeo!$E$36)/5000,0)-1)*Costeo!$B$62+IF((0*Costeo!$B$36+0*Costeo!$C$36+0*Costeo!$D$36+$A76*Costeo!$E$36)&gt;5000,32-Costeo!$B$61,0))*Costeo!$B$51,2))))&gt;=0),$A76,1000000000)</f>
        <v>1000000000</v>
      </c>
    </row>
    <row r="77" hidden="1" outlineLevel="1" ht="30" customHeight="1" s="61">
      <c r="A77" s="52" t="n">
        <v>26</v>
      </c>
      <c r="B77" s="121">
        <f>IF(AND($A77*Costeo!$B$36&lt;=10000,(($A77)*$D$9-$B$4-((ROUND((MAX(0,($A77*Costeo!$B$117+0*Costeo!$C$117+0*Costeo!$D$117+0*Costeo!$E$117)-100)*Costeo!$B$53+MAX(0,($A77*Costeo!$B$118+0*Costeo!$C$118+0*Costeo!$D$118+0*Costeo!$E$118)-250)*Costeo!$B$52+(MAX(0,ROUNDUP((($A77*Costeo!$B$116+0*Costeo!$C$116)+(0*Costeo!$D$116+0*Costeo!$E$116)*0.05)*2,0)-8)+($A77*Costeo!$B$131+0*Costeo!$C$131+0*Costeo!$D$131+0*Costeo!$E$131))*Costeo!$B$54+IF(($A77*Costeo!$B$36+0*Costeo!$C$36)&lt;=2000,10,IF(($A77*Costeo!$B$36+0*Costeo!$C$36)&lt;=5000,15,IF(($A77*Costeo!$B$36+0*Costeo!$C$36)&lt;=10000,60,110)))-10)*Costeo!$B$51,2))+(ROUND((MAX(0,($A77*Costeo!$B$130+0*Costeo!$C$130+0*Costeo!$D$130+0*Costeo!$E$130)+20*2*2*Costeo!$B$69+30*(1/3600*Costeo!$B$55+5/3600*Costeo!$B$56)-Costeo!$B$58)+IF(AND(($A77*Costeo!$B$120+0*Costeo!$C$120+0*Costeo!$D$120+0*Costeo!$E$120)&lt;=1000000,($A77*Costeo!$B$119+0*Costeo!$C$119+0*Costeo!$D$119+0*Costeo!$E$119)&lt;=1000),0,IF(($A77*Costeo!$B$120+0*Costeo!$C$120+0*Costeo!$D$120+0*Costeo!$E$120)&lt;=10000000,20,IF(($A77*Costeo!$B$120+0*Costeo!$C$120+0*Costeo!$D$120+0*Costeo!$E$120)&lt;=50000000,100,300)))+MAX(0,ROUNDUP(($A77*Costeo!$B$36+0*Costeo!$C$36+0*Costeo!$D$36+0*Costeo!$E$36)/5000,0)-1)*Costeo!$B$62+IF(($A77*Costeo!$B$36+0*Costeo!$C$36+0*Costeo!$D$36+0*Costeo!$E$36)&gt;5000,32-Costeo!$B$61,0))*Costeo!$B$51,2))))&gt;=0),$A77,1000000000)</f>
        <v>26</v>
      </c>
      <c r="C77" s="121">
        <f>IF(AND($A77*Costeo!$C$36&lt;=10000,(($A77)*$D$10-$B$4-((ROUND((MAX(0,(0*Costeo!$B$117+$A77*Costeo!$C$117+0*Costeo!$D$117+0*Costeo!$E$117)-100)*Costeo!$B$53+MAX(0,(0*Costeo!$B$118+$A77*Costeo!$C$118+0*Costeo!$D$118+0*Costeo!$E$118)-250)*Costeo!$B$52+(MAX(0,ROUNDUP(((0*Costeo!$B$116+$A77*Costeo!$C$116)+(0*Costeo!$D$116+0*Costeo!$E$116)*0.05)*2,0)-8)+(0*Costeo!$B$131+$A77*Costeo!$C$131+0*Costeo!$D$131+0*Costeo!$E$131))*Costeo!$B$54+IF((0*Costeo!$B$36+$A77*Costeo!$C$36)&lt;=2000,10,IF((0*Costeo!$B$36+$A77*Costeo!$C$36)&lt;=5000,15,IF((0*Costeo!$B$36+$A77*Costeo!$C$36)&lt;=10000,60,110)))-10)*Costeo!$B$51,2))+(ROUND((MAX(0,(0*Costeo!$B$130+$A77*Costeo!$C$130+0*Costeo!$D$130+0*Costeo!$E$130)+20*2*2*Costeo!$B$69+30*(1/3600*Costeo!$B$55+5/3600*Costeo!$B$56)-Costeo!$B$58)+IF(AND((0*Costeo!$B$120+$A77*Costeo!$C$120+0*Costeo!$D$120+0*Costeo!$E$120)&lt;=1000000,(0*Costeo!$B$119+$A77*Costeo!$C$119+0*Costeo!$D$119+0*Costeo!$E$119)&lt;=1000),0,IF((0*Costeo!$B$120+$A77*Costeo!$C$120+0*Costeo!$D$120+0*Costeo!$E$120)&lt;=10000000,20,IF((0*Costeo!$B$120+$A77*Costeo!$C$120+0*Costeo!$D$120+0*Costeo!$E$120)&lt;=50000000,100,300)))+MAX(0,ROUNDUP((0*Costeo!$B$36+$A77*Costeo!$C$36+0*Costeo!$D$36+0*Costeo!$E$36)/5000,0)-1)*Costeo!$B$62+IF((0*Costeo!$B$36+$A77*Costeo!$C$36+0*Costeo!$D$36+0*Costeo!$E$36)&gt;5000,32-Costeo!$B$61,0))*Costeo!$B$51,2))))&gt;=0),$A77,1000000000)</f>
        <v>26</v>
      </c>
      <c r="D77" s="121">
        <f>IF(AND($A77*Costeo!$D$36&lt;=10000,(($A77)*$D$11-$B$4-((ROUND((MAX(0,(0*Costeo!$B$117+0*Costeo!$C$117+$A77*Costeo!$D$117+0*Costeo!$E$117)-100)*Costeo!$B$53+MAX(0,(0*Costeo!$B$118+0*Costeo!$C$118+$A77*Costeo!$D$118+0*Costeo!$E$118)-250)*Costeo!$B$52+(MAX(0,ROUNDUP(((0*Costeo!$B$116+0*Costeo!$C$116)+($A77*Costeo!$D$116+0*Costeo!$E$116)*0.05)*2,0)-8)+(0*Costeo!$B$131+0*Costeo!$C$131+$A77*Costeo!$D$131+0*Costeo!$E$131))*Costeo!$B$54+IF((0*Costeo!$B$36+0*Costeo!$C$36)&lt;=2000,10,IF((0*Costeo!$B$36+0*Costeo!$C$36)&lt;=5000,15,IF((0*Costeo!$B$36+0*Costeo!$C$36)&lt;=10000,60,110)))-10)*Costeo!$B$51,2))+(ROUND((MAX(0,(0*Costeo!$B$130+0*Costeo!$C$130+$A77*Costeo!$D$130+0*Costeo!$E$130)+20*2*2*Costeo!$B$69+30*(1/3600*Costeo!$B$55+5/3600*Costeo!$B$56)-Costeo!$B$58)+IF(AND((0*Costeo!$B$120+0*Costeo!$C$120+$A77*Costeo!$D$120+0*Costeo!$E$120)&lt;=1000000,(0*Costeo!$B$119+0*Costeo!$C$119+$A77*Costeo!$D$119+0*Costeo!$E$119)&lt;=1000),0,IF((0*Costeo!$B$120+0*Costeo!$C$120+$A77*Costeo!$D$120+0*Costeo!$E$120)&lt;=10000000,20,IF((0*Costeo!$B$120+0*Costeo!$C$120+$A77*Costeo!$D$120+0*Costeo!$E$120)&lt;=50000000,100,300)))+MAX(0,ROUNDUP((0*Costeo!$B$36+0*Costeo!$C$36+$A77*Costeo!$D$36+0*Costeo!$E$36)/5000,0)-1)*Costeo!$B$62+IF((0*Costeo!$B$36+0*Costeo!$C$36+$A77*Costeo!$D$36+0*Costeo!$E$36)&gt;5000,32-Costeo!$B$61,0))*Costeo!$B$51,2))))&gt;=0),$A77,1000000000)</f>
        <v>1000000000</v>
      </c>
      <c r="E77" s="121">
        <f>IF(AND($A77*Costeo!$E$36&lt;=10000,(($A77)*$D$12-$B$4-((ROUND((MAX(0,(0*Costeo!$B$117+0*Costeo!$C$117+0*Costeo!$D$117+$A77*Costeo!$E$117)-100)*Costeo!$B$53+MAX(0,(0*Costeo!$B$118+0*Costeo!$C$118+0*Costeo!$D$118+$A77*Costeo!$E$118)-250)*Costeo!$B$52+(MAX(0,ROUNDUP(((0*Costeo!$B$116+0*Costeo!$C$116)+(0*Costeo!$D$116+$A77*Costeo!$E$116)*0.05)*2,0)-8)+(0*Costeo!$B$131+0*Costeo!$C$131+0*Costeo!$D$131+$A77*Costeo!$E$131))*Costeo!$B$54+IF((0*Costeo!$B$36+0*Costeo!$C$36)&lt;=2000,10,IF((0*Costeo!$B$36+0*Costeo!$C$36)&lt;=5000,15,IF((0*Costeo!$B$36+0*Costeo!$C$36)&lt;=10000,60,110)))-10)*Costeo!$B$51,2))+(ROUND((MAX(0,(0*Costeo!$B$130+0*Costeo!$C$130+0*Costeo!$D$130+$A77*Costeo!$E$130)+20*2*2*Costeo!$B$69+30*(1/3600*Costeo!$B$55+5/3600*Costeo!$B$56)-Costeo!$B$58)+IF(AND((0*Costeo!$B$120+0*Costeo!$C$120+0*Costeo!$D$120+$A77*Costeo!$E$120)&lt;=1000000,(0*Costeo!$B$119+0*Costeo!$C$119+0*Costeo!$D$119+$A77*Costeo!$E$119)&lt;=1000),0,IF((0*Costeo!$B$120+0*Costeo!$C$120+0*Costeo!$D$120+$A77*Costeo!$E$120)&lt;=10000000,20,IF((0*Costeo!$B$120+0*Costeo!$C$120+0*Costeo!$D$120+$A77*Costeo!$E$120)&lt;=50000000,100,300)))+MAX(0,ROUNDUP((0*Costeo!$B$36+0*Costeo!$C$36+0*Costeo!$D$36+$A77*Costeo!$E$36)/5000,0)-1)*Costeo!$B$62+IF((0*Costeo!$B$36+0*Costeo!$C$36+0*Costeo!$D$36+$A77*Costeo!$E$36)&gt;5000,32-Costeo!$B$61,0))*Costeo!$B$51,2))))&gt;=0),$A77,1000000000)</f>
        <v>1000000000</v>
      </c>
    </row>
    <row r="78" hidden="1" outlineLevel="1" ht="30" customHeight="1" s="61">
      <c r="A78" s="52" t="n">
        <v>27</v>
      </c>
      <c r="B78" s="121">
        <f>IF(AND($A78*Costeo!$B$36&lt;=10000,(($A78)*$D$9-$B$4-((ROUND((MAX(0,($A78*Costeo!$B$117+0*Costeo!$C$117+0*Costeo!$D$117+0*Costeo!$E$117)-100)*Costeo!$B$53+MAX(0,($A78*Costeo!$B$118+0*Costeo!$C$118+0*Costeo!$D$118+0*Costeo!$E$118)-250)*Costeo!$B$52+(MAX(0,ROUNDUP((($A78*Costeo!$B$116+0*Costeo!$C$116)+(0*Costeo!$D$116+0*Costeo!$E$116)*0.05)*2,0)-8)+($A78*Costeo!$B$131+0*Costeo!$C$131+0*Costeo!$D$131+0*Costeo!$E$131))*Costeo!$B$54+IF(($A78*Costeo!$B$36+0*Costeo!$C$36)&lt;=2000,10,IF(($A78*Costeo!$B$36+0*Costeo!$C$36)&lt;=5000,15,IF(($A78*Costeo!$B$36+0*Costeo!$C$36)&lt;=10000,60,110)))-10)*Costeo!$B$51,2))+(ROUND((MAX(0,($A78*Costeo!$B$130+0*Costeo!$C$130+0*Costeo!$D$130+0*Costeo!$E$130)+20*2*2*Costeo!$B$69+30*(1/3600*Costeo!$B$55+5/3600*Costeo!$B$56)-Costeo!$B$58)+IF(AND(($A78*Costeo!$B$120+0*Costeo!$C$120+0*Costeo!$D$120+0*Costeo!$E$120)&lt;=1000000,($A78*Costeo!$B$119+0*Costeo!$C$119+0*Costeo!$D$119+0*Costeo!$E$119)&lt;=1000),0,IF(($A78*Costeo!$B$120+0*Costeo!$C$120+0*Costeo!$D$120+0*Costeo!$E$120)&lt;=10000000,20,IF(($A78*Costeo!$B$120+0*Costeo!$C$120+0*Costeo!$D$120+0*Costeo!$E$120)&lt;=50000000,100,300)))+MAX(0,ROUNDUP(($A78*Costeo!$B$36+0*Costeo!$C$36+0*Costeo!$D$36+0*Costeo!$E$36)/5000,0)-1)*Costeo!$B$62+IF(($A78*Costeo!$B$36+0*Costeo!$C$36+0*Costeo!$D$36+0*Costeo!$E$36)&gt;5000,32-Costeo!$B$61,0))*Costeo!$B$51,2))))&gt;=0),$A78,1000000000)</f>
        <v>27</v>
      </c>
      <c r="C78" s="121">
        <f>IF(AND($A78*Costeo!$C$36&lt;=10000,(($A78)*$D$10-$B$4-((ROUND((MAX(0,(0*Costeo!$B$117+$A78*Costeo!$C$117+0*Costeo!$D$117+0*Costeo!$E$117)-100)*Costeo!$B$53+MAX(0,(0*Costeo!$B$118+$A78*Costeo!$C$118+0*Costeo!$D$118+0*Costeo!$E$118)-250)*Costeo!$B$52+(MAX(0,ROUNDUP(((0*Costeo!$B$116+$A78*Costeo!$C$116)+(0*Costeo!$D$116+0*Costeo!$E$116)*0.05)*2,0)-8)+(0*Costeo!$B$131+$A78*Costeo!$C$131+0*Costeo!$D$131+0*Costeo!$E$131))*Costeo!$B$54+IF((0*Costeo!$B$36+$A78*Costeo!$C$36)&lt;=2000,10,IF((0*Costeo!$B$36+$A78*Costeo!$C$36)&lt;=5000,15,IF((0*Costeo!$B$36+$A78*Costeo!$C$36)&lt;=10000,60,110)))-10)*Costeo!$B$51,2))+(ROUND((MAX(0,(0*Costeo!$B$130+$A78*Costeo!$C$130+0*Costeo!$D$130+0*Costeo!$E$130)+20*2*2*Costeo!$B$69+30*(1/3600*Costeo!$B$55+5/3600*Costeo!$B$56)-Costeo!$B$58)+IF(AND((0*Costeo!$B$120+$A78*Costeo!$C$120+0*Costeo!$D$120+0*Costeo!$E$120)&lt;=1000000,(0*Costeo!$B$119+$A78*Costeo!$C$119+0*Costeo!$D$119+0*Costeo!$E$119)&lt;=1000),0,IF((0*Costeo!$B$120+$A78*Costeo!$C$120+0*Costeo!$D$120+0*Costeo!$E$120)&lt;=10000000,20,IF((0*Costeo!$B$120+$A78*Costeo!$C$120+0*Costeo!$D$120+0*Costeo!$E$120)&lt;=50000000,100,300)))+MAX(0,ROUNDUP((0*Costeo!$B$36+$A78*Costeo!$C$36+0*Costeo!$D$36+0*Costeo!$E$36)/5000,0)-1)*Costeo!$B$62+IF((0*Costeo!$B$36+$A78*Costeo!$C$36+0*Costeo!$D$36+0*Costeo!$E$36)&gt;5000,32-Costeo!$B$61,0))*Costeo!$B$51,2))))&gt;=0),$A78,1000000000)</f>
        <v>27</v>
      </c>
      <c r="D78" s="121">
        <f>IF(AND($A78*Costeo!$D$36&lt;=10000,(($A78)*$D$11-$B$4-((ROUND((MAX(0,(0*Costeo!$B$117+0*Costeo!$C$117+$A78*Costeo!$D$117+0*Costeo!$E$117)-100)*Costeo!$B$53+MAX(0,(0*Costeo!$B$118+0*Costeo!$C$118+$A78*Costeo!$D$118+0*Costeo!$E$118)-250)*Costeo!$B$52+(MAX(0,ROUNDUP(((0*Costeo!$B$116+0*Costeo!$C$116)+($A78*Costeo!$D$116+0*Costeo!$E$116)*0.05)*2,0)-8)+(0*Costeo!$B$131+0*Costeo!$C$131+$A78*Costeo!$D$131+0*Costeo!$E$131))*Costeo!$B$54+IF((0*Costeo!$B$36+0*Costeo!$C$36)&lt;=2000,10,IF((0*Costeo!$B$36+0*Costeo!$C$36)&lt;=5000,15,IF((0*Costeo!$B$36+0*Costeo!$C$36)&lt;=10000,60,110)))-10)*Costeo!$B$51,2))+(ROUND((MAX(0,(0*Costeo!$B$130+0*Costeo!$C$130+$A78*Costeo!$D$130+0*Costeo!$E$130)+20*2*2*Costeo!$B$69+30*(1/3600*Costeo!$B$55+5/3600*Costeo!$B$56)-Costeo!$B$58)+IF(AND((0*Costeo!$B$120+0*Costeo!$C$120+$A78*Costeo!$D$120+0*Costeo!$E$120)&lt;=1000000,(0*Costeo!$B$119+0*Costeo!$C$119+$A78*Costeo!$D$119+0*Costeo!$E$119)&lt;=1000),0,IF((0*Costeo!$B$120+0*Costeo!$C$120+$A78*Costeo!$D$120+0*Costeo!$E$120)&lt;=10000000,20,IF((0*Costeo!$B$120+0*Costeo!$C$120+$A78*Costeo!$D$120+0*Costeo!$E$120)&lt;=50000000,100,300)))+MAX(0,ROUNDUP((0*Costeo!$B$36+0*Costeo!$C$36+$A78*Costeo!$D$36+0*Costeo!$E$36)/5000,0)-1)*Costeo!$B$62+IF((0*Costeo!$B$36+0*Costeo!$C$36+$A78*Costeo!$D$36+0*Costeo!$E$36)&gt;5000,32-Costeo!$B$61,0))*Costeo!$B$51,2))))&gt;=0),$A78,1000000000)</f>
        <v>1000000000</v>
      </c>
      <c r="E78" s="121">
        <f>IF(AND($A78*Costeo!$E$36&lt;=10000,(($A78)*$D$12-$B$4-((ROUND((MAX(0,(0*Costeo!$B$117+0*Costeo!$C$117+0*Costeo!$D$117+$A78*Costeo!$E$117)-100)*Costeo!$B$53+MAX(0,(0*Costeo!$B$118+0*Costeo!$C$118+0*Costeo!$D$118+$A78*Costeo!$E$118)-250)*Costeo!$B$52+(MAX(0,ROUNDUP(((0*Costeo!$B$116+0*Costeo!$C$116)+(0*Costeo!$D$116+$A78*Costeo!$E$116)*0.05)*2,0)-8)+(0*Costeo!$B$131+0*Costeo!$C$131+0*Costeo!$D$131+$A78*Costeo!$E$131))*Costeo!$B$54+IF((0*Costeo!$B$36+0*Costeo!$C$36)&lt;=2000,10,IF((0*Costeo!$B$36+0*Costeo!$C$36)&lt;=5000,15,IF((0*Costeo!$B$36+0*Costeo!$C$36)&lt;=10000,60,110)))-10)*Costeo!$B$51,2))+(ROUND((MAX(0,(0*Costeo!$B$130+0*Costeo!$C$130+0*Costeo!$D$130+$A78*Costeo!$E$130)+20*2*2*Costeo!$B$69+30*(1/3600*Costeo!$B$55+5/3600*Costeo!$B$56)-Costeo!$B$58)+IF(AND((0*Costeo!$B$120+0*Costeo!$C$120+0*Costeo!$D$120+$A78*Costeo!$E$120)&lt;=1000000,(0*Costeo!$B$119+0*Costeo!$C$119+0*Costeo!$D$119+$A78*Costeo!$E$119)&lt;=1000),0,IF((0*Costeo!$B$120+0*Costeo!$C$120+0*Costeo!$D$120+$A78*Costeo!$E$120)&lt;=10000000,20,IF((0*Costeo!$B$120+0*Costeo!$C$120+0*Costeo!$D$120+$A78*Costeo!$E$120)&lt;=50000000,100,300)))+MAX(0,ROUNDUP((0*Costeo!$B$36+0*Costeo!$C$36+0*Costeo!$D$36+$A78*Costeo!$E$36)/5000,0)-1)*Costeo!$B$62+IF((0*Costeo!$B$36+0*Costeo!$C$36+0*Costeo!$D$36+$A78*Costeo!$E$36)&gt;5000,32-Costeo!$B$61,0))*Costeo!$B$51,2))))&gt;=0),$A78,1000000000)</f>
        <v>1000000000</v>
      </c>
    </row>
    <row r="79" hidden="1" outlineLevel="1" ht="30" customHeight="1" s="61">
      <c r="A79" s="52" t="n">
        <v>28</v>
      </c>
      <c r="B79" s="121">
        <f>IF(AND($A79*Costeo!$B$36&lt;=10000,(($A79)*$D$9-$B$4-((ROUND((MAX(0,($A79*Costeo!$B$117+0*Costeo!$C$117+0*Costeo!$D$117+0*Costeo!$E$117)-100)*Costeo!$B$53+MAX(0,($A79*Costeo!$B$118+0*Costeo!$C$118+0*Costeo!$D$118+0*Costeo!$E$118)-250)*Costeo!$B$52+(MAX(0,ROUNDUP((($A79*Costeo!$B$116+0*Costeo!$C$116)+(0*Costeo!$D$116+0*Costeo!$E$116)*0.05)*2,0)-8)+($A79*Costeo!$B$131+0*Costeo!$C$131+0*Costeo!$D$131+0*Costeo!$E$131))*Costeo!$B$54+IF(($A79*Costeo!$B$36+0*Costeo!$C$36)&lt;=2000,10,IF(($A79*Costeo!$B$36+0*Costeo!$C$36)&lt;=5000,15,IF(($A79*Costeo!$B$36+0*Costeo!$C$36)&lt;=10000,60,110)))-10)*Costeo!$B$51,2))+(ROUND((MAX(0,($A79*Costeo!$B$130+0*Costeo!$C$130+0*Costeo!$D$130+0*Costeo!$E$130)+20*2*2*Costeo!$B$69+30*(1/3600*Costeo!$B$55+5/3600*Costeo!$B$56)-Costeo!$B$58)+IF(AND(($A79*Costeo!$B$120+0*Costeo!$C$120+0*Costeo!$D$120+0*Costeo!$E$120)&lt;=1000000,($A79*Costeo!$B$119+0*Costeo!$C$119+0*Costeo!$D$119+0*Costeo!$E$119)&lt;=1000),0,IF(($A79*Costeo!$B$120+0*Costeo!$C$120+0*Costeo!$D$120+0*Costeo!$E$120)&lt;=10000000,20,IF(($A79*Costeo!$B$120+0*Costeo!$C$120+0*Costeo!$D$120+0*Costeo!$E$120)&lt;=50000000,100,300)))+MAX(0,ROUNDUP(($A79*Costeo!$B$36+0*Costeo!$C$36+0*Costeo!$D$36+0*Costeo!$E$36)/5000,0)-1)*Costeo!$B$62+IF(($A79*Costeo!$B$36+0*Costeo!$C$36+0*Costeo!$D$36+0*Costeo!$E$36)&gt;5000,32-Costeo!$B$61,0))*Costeo!$B$51,2))))&gt;=0),$A79,1000000000)</f>
        <v>28</v>
      </c>
      <c r="C79" s="121">
        <f>IF(AND($A79*Costeo!$C$36&lt;=10000,(($A79)*$D$10-$B$4-((ROUND((MAX(0,(0*Costeo!$B$117+$A79*Costeo!$C$117+0*Costeo!$D$117+0*Costeo!$E$117)-100)*Costeo!$B$53+MAX(0,(0*Costeo!$B$118+$A79*Costeo!$C$118+0*Costeo!$D$118+0*Costeo!$E$118)-250)*Costeo!$B$52+(MAX(0,ROUNDUP(((0*Costeo!$B$116+$A79*Costeo!$C$116)+(0*Costeo!$D$116+0*Costeo!$E$116)*0.05)*2,0)-8)+(0*Costeo!$B$131+$A79*Costeo!$C$131+0*Costeo!$D$131+0*Costeo!$E$131))*Costeo!$B$54+IF((0*Costeo!$B$36+$A79*Costeo!$C$36)&lt;=2000,10,IF((0*Costeo!$B$36+$A79*Costeo!$C$36)&lt;=5000,15,IF((0*Costeo!$B$36+$A79*Costeo!$C$36)&lt;=10000,60,110)))-10)*Costeo!$B$51,2))+(ROUND((MAX(0,(0*Costeo!$B$130+$A79*Costeo!$C$130+0*Costeo!$D$130+0*Costeo!$E$130)+20*2*2*Costeo!$B$69+30*(1/3600*Costeo!$B$55+5/3600*Costeo!$B$56)-Costeo!$B$58)+IF(AND((0*Costeo!$B$120+$A79*Costeo!$C$120+0*Costeo!$D$120+0*Costeo!$E$120)&lt;=1000000,(0*Costeo!$B$119+$A79*Costeo!$C$119+0*Costeo!$D$119+0*Costeo!$E$119)&lt;=1000),0,IF((0*Costeo!$B$120+$A79*Costeo!$C$120+0*Costeo!$D$120+0*Costeo!$E$120)&lt;=10000000,20,IF((0*Costeo!$B$120+$A79*Costeo!$C$120+0*Costeo!$D$120+0*Costeo!$E$120)&lt;=50000000,100,300)))+MAX(0,ROUNDUP((0*Costeo!$B$36+$A79*Costeo!$C$36+0*Costeo!$D$36+0*Costeo!$E$36)/5000,0)-1)*Costeo!$B$62+IF((0*Costeo!$B$36+$A79*Costeo!$C$36+0*Costeo!$D$36+0*Costeo!$E$36)&gt;5000,32-Costeo!$B$61,0))*Costeo!$B$51,2))))&gt;=0),$A79,1000000000)</f>
        <v>28</v>
      </c>
      <c r="D79" s="121">
        <f>IF(AND($A79*Costeo!$D$36&lt;=10000,(($A79)*$D$11-$B$4-((ROUND((MAX(0,(0*Costeo!$B$117+0*Costeo!$C$117+$A79*Costeo!$D$117+0*Costeo!$E$117)-100)*Costeo!$B$53+MAX(0,(0*Costeo!$B$118+0*Costeo!$C$118+$A79*Costeo!$D$118+0*Costeo!$E$118)-250)*Costeo!$B$52+(MAX(0,ROUNDUP(((0*Costeo!$B$116+0*Costeo!$C$116)+($A79*Costeo!$D$116+0*Costeo!$E$116)*0.05)*2,0)-8)+(0*Costeo!$B$131+0*Costeo!$C$131+$A79*Costeo!$D$131+0*Costeo!$E$131))*Costeo!$B$54+IF((0*Costeo!$B$36+0*Costeo!$C$36)&lt;=2000,10,IF((0*Costeo!$B$36+0*Costeo!$C$36)&lt;=5000,15,IF((0*Costeo!$B$36+0*Costeo!$C$36)&lt;=10000,60,110)))-10)*Costeo!$B$51,2))+(ROUND((MAX(0,(0*Costeo!$B$130+0*Costeo!$C$130+$A79*Costeo!$D$130+0*Costeo!$E$130)+20*2*2*Costeo!$B$69+30*(1/3600*Costeo!$B$55+5/3600*Costeo!$B$56)-Costeo!$B$58)+IF(AND((0*Costeo!$B$120+0*Costeo!$C$120+$A79*Costeo!$D$120+0*Costeo!$E$120)&lt;=1000000,(0*Costeo!$B$119+0*Costeo!$C$119+$A79*Costeo!$D$119+0*Costeo!$E$119)&lt;=1000),0,IF((0*Costeo!$B$120+0*Costeo!$C$120+$A79*Costeo!$D$120+0*Costeo!$E$120)&lt;=10000000,20,IF((0*Costeo!$B$120+0*Costeo!$C$120+$A79*Costeo!$D$120+0*Costeo!$E$120)&lt;=50000000,100,300)))+MAX(0,ROUNDUP((0*Costeo!$B$36+0*Costeo!$C$36+$A79*Costeo!$D$36+0*Costeo!$E$36)/5000,0)-1)*Costeo!$B$62+IF((0*Costeo!$B$36+0*Costeo!$C$36+$A79*Costeo!$D$36+0*Costeo!$E$36)&gt;5000,32-Costeo!$B$61,0))*Costeo!$B$51,2))))&gt;=0),$A79,1000000000)</f>
        <v>1000000000</v>
      </c>
      <c r="E79" s="121">
        <f>IF(AND($A79*Costeo!$E$36&lt;=10000,(($A79)*$D$12-$B$4-((ROUND((MAX(0,(0*Costeo!$B$117+0*Costeo!$C$117+0*Costeo!$D$117+$A79*Costeo!$E$117)-100)*Costeo!$B$53+MAX(0,(0*Costeo!$B$118+0*Costeo!$C$118+0*Costeo!$D$118+$A79*Costeo!$E$118)-250)*Costeo!$B$52+(MAX(0,ROUNDUP(((0*Costeo!$B$116+0*Costeo!$C$116)+(0*Costeo!$D$116+$A79*Costeo!$E$116)*0.05)*2,0)-8)+(0*Costeo!$B$131+0*Costeo!$C$131+0*Costeo!$D$131+$A79*Costeo!$E$131))*Costeo!$B$54+IF((0*Costeo!$B$36+0*Costeo!$C$36)&lt;=2000,10,IF((0*Costeo!$B$36+0*Costeo!$C$36)&lt;=5000,15,IF((0*Costeo!$B$36+0*Costeo!$C$36)&lt;=10000,60,110)))-10)*Costeo!$B$51,2))+(ROUND((MAX(0,(0*Costeo!$B$130+0*Costeo!$C$130+0*Costeo!$D$130+$A79*Costeo!$E$130)+20*2*2*Costeo!$B$69+30*(1/3600*Costeo!$B$55+5/3600*Costeo!$B$56)-Costeo!$B$58)+IF(AND((0*Costeo!$B$120+0*Costeo!$C$120+0*Costeo!$D$120+$A79*Costeo!$E$120)&lt;=1000000,(0*Costeo!$B$119+0*Costeo!$C$119+0*Costeo!$D$119+$A79*Costeo!$E$119)&lt;=1000),0,IF((0*Costeo!$B$120+0*Costeo!$C$120+0*Costeo!$D$120+$A79*Costeo!$E$120)&lt;=10000000,20,IF((0*Costeo!$B$120+0*Costeo!$C$120+0*Costeo!$D$120+$A79*Costeo!$E$120)&lt;=50000000,100,300)))+MAX(0,ROUNDUP((0*Costeo!$B$36+0*Costeo!$C$36+0*Costeo!$D$36+$A79*Costeo!$E$36)/5000,0)-1)*Costeo!$B$62+IF((0*Costeo!$B$36+0*Costeo!$C$36+0*Costeo!$D$36+$A79*Costeo!$E$36)&gt;5000,32-Costeo!$B$61,0))*Costeo!$B$51,2))))&gt;=0),$A79,1000000000)</f>
        <v>1000000000</v>
      </c>
    </row>
    <row r="80" hidden="1" outlineLevel="1" ht="30" customHeight="1" s="61">
      <c r="A80" s="52" t="n">
        <v>29</v>
      </c>
      <c r="B80" s="121">
        <f>IF(AND($A80*Costeo!$B$36&lt;=10000,(($A80)*$D$9-$B$4-((ROUND((MAX(0,($A80*Costeo!$B$117+0*Costeo!$C$117+0*Costeo!$D$117+0*Costeo!$E$117)-100)*Costeo!$B$53+MAX(0,($A80*Costeo!$B$118+0*Costeo!$C$118+0*Costeo!$D$118+0*Costeo!$E$118)-250)*Costeo!$B$52+(MAX(0,ROUNDUP((($A80*Costeo!$B$116+0*Costeo!$C$116)+(0*Costeo!$D$116+0*Costeo!$E$116)*0.05)*2,0)-8)+($A80*Costeo!$B$131+0*Costeo!$C$131+0*Costeo!$D$131+0*Costeo!$E$131))*Costeo!$B$54+IF(($A80*Costeo!$B$36+0*Costeo!$C$36)&lt;=2000,10,IF(($A80*Costeo!$B$36+0*Costeo!$C$36)&lt;=5000,15,IF(($A80*Costeo!$B$36+0*Costeo!$C$36)&lt;=10000,60,110)))-10)*Costeo!$B$51,2))+(ROUND((MAX(0,($A80*Costeo!$B$130+0*Costeo!$C$130+0*Costeo!$D$130+0*Costeo!$E$130)+20*2*2*Costeo!$B$69+30*(1/3600*Costeo!$B$55+5/3600*Costeo!$B$56)-Costeo!$B$58)+IF(AND(($A80*Costeo!$B$120+0*Costeo!$C$120+0*Costeo!$D$120+0*Costeo!$E$120)&lt;=1000000,($A80*Costeo!$B$119+0*Costeo!$C$119+0*Costeo!$D$119+0*Costeo!$E$119)&lt;=1000),0,IF(($A80*Costeo!$B$120+0*Costeo!$C$120+0*Costeo!$D$120+0*Costeo!$E$120)&lt;=10000000,20,IF(($A80*Costeo!$B$120+0*Costeo!$C$120+0*Costeo!$D$120+0*Costeo!$E$120)&lt;=50000000,100,300)))+MAX(0,ROUNDUP(($A80*Costeo!$B$36+0*Costeo!$C$36+0*Costeo!$D$36+0*Costeo!$E$36)/5000,0)-1)*Costeo!$B$62+IF(($A80*Costeo!$B$36+0*Costeo!$C$36+0*Costeo!$D$36+0*Costeo!$E$36)&gt;5000,32-Costeo!$B$61,0))*Costeo!$B$51,2))))&gt;=0),$A80,1000000000)</f>
        <v>29</v>
      </c>
      <c r="C80" s="121">
        <f>IF(AND($A80*Costeo!$C$36&lt;=10000,(($A80)*$D$10-$B$4-((ROUND((MAX(0,(0*Costeo!$B$117+$A80*Costeo!$C$117+0*Costeo!$D$117+0*Costeo!$E$117)-100)*Costeo!$B$53+MAX(0,(0*Costeo!$B$118+$A80*Costeo!$C$118+0*Costeo!$D$118+0*Costeo!$E$118)-250)*Costeo!$B$52+(MAX(0,ROUNDUP(((0*Costeo!$B$116+$A80*Costeo!$C$116)+(0*Costeo!$D$116+0*Costeo!$E$116)*0.05)*2,0)-8)+(0*Costeo!$B$131+$A80*Costeo!$C$131+0*Costeo!$D$131+0*Costeo!$E$131))*Costeo!$B$54+IF((0*Costeo!$B$36+$A80*Costeo!$C$36)&lt;=2000,10,IF((0*Costeo!$B$36+$A80*Costeo!$C$36)&lt;=5000,15,IF((0*Costeo!$B$36+$A80*Costeo!$C$36)&lt;=10000,60,110)))-10)*Costeo!$B$51,2))+(ROUND((MAX(0,(0*Costeo!$B$130+$A80*Costeo!$C$130+0*Costeo!$D$130+0*Costeo!$E$130)+20*2*2*Costeo!$B$69+30*(1/3600*Costeo!$B$55+5/3600*Costeo!$B$56)-Costeo!$B$58)+IF(AND((0*Costeo!$B$120+$A80*Costeo!$C$120+0*Costeo!$D$120+0*Costeo!$E$120)&lt;=1000000,(0*Costeo!$B$119+$A80*Costeo!$C$119+0*Costeo!$D$119+0*Costeo!$E$119)&lt;=1000),0,IF((0*Costeo!$B$120+$A80*Costeo!$C$120+0*Costeo!$D$120+0*Costeo!$E$120)&lt;=10000000,20,IF((0*Costeo!$B$120+$A80*Costeo!$C$120+0*Costeo!$D$120+0*Costeo!$E$120)&lt;=50000000,100,300)))+MAX(0,ROUNDUP((0*Costeo!$B$36+$A80*Costeo!$C$36+0*Costeo!$D$36+0*Costeo!$E$36)/5000,0)-1)*Costeo!$B$62+IF((0*Costeo!$B$36+$A80*Costeo!$C$36+0*Costeo!$D$36+0*Costeo!$E$36)&gt;5000,32-Costeo!$B$61,0))*Costeo!$B$51,2))))&gt;=0),$A80,1000000000)</f>
        <v>29</v>
      </c>
      <c r="D80" s="121">
        <f>IF(AND($A80*Costeo!$D$36&lt;=10000,(($A80)*$D$11-$B$4-((ROUND((MAX(0,(0*Costeo!$B$117+0*Costeo!$C$117+$A80*Costeo!$D$117+0*Costeo!$E$117)-100)*Costeo!$B$53+MAX(0,(0*Costeo!$B$118+0*Costeo!$C$118+$A80*Costeo!$D$118+0*Costeo!$E$118)-250)*Costeo!$B$52+(MAX(0,ROUNDUP(((0*Costeo!$B$116+0*Costeo!$C$116)+($A80*Costeo!$D$116+0*Costeo!$E$116)*0.05)*2,0)-8)+(0*Costeo!$B$131+0*Costeo!$C$131+$A80*Costeo!$D$131+0*Costeo!$E$131))*Costeo!$B$54+IF((0*Costeo!$B$36+0*Costeo!$C$36)&lt;=2000,10,IF((0*Costeo!$B$36+0*Costeo!$C$36)&lt;=5000,15,IF((0*Costeo!$B$36+0*Costeo!$C$36)&lt;=10000,60,110)))-10)*Costeo!$B$51,2))+(ROUND((MAX(0,(0*Costeo!$B$130+0*Costeo!$C$130+$A80*Costeo!$D$130+0*Costeo!$E$130)+20*2*2*Costeo!$B$69+30*(1/3600*Costeo!$B$55+5/3600*Costeo!$B$56)-Costeo!$B$58)+IF(AND((0*Costeo!$B$120+0*Costeo!$C$120+$A80*Costeo!$D$120+0*Costeo!$E$120)&lt;=1000000,(0*Costeo!$B$119+0*Costeo!$C$119+$A80*Costeo!$D$119+0*Costeo!$E$119)&lt;=1000),0,IF((0*Costeo!$B$120+0*Costeo!$C$120+$A80*Costeo!$D$120+0*Costeo!$E$120)&lt;=10000000,20,IF((0*Costeo!$B$120+0*Costeo!$C$120+$A80*Costeo!$D$120+0*Costeo!$E$120)&lt;=50000000,100,300)))+MAX(0,ROUNDUP((0*Costeo!$B$36+0*Costeo!$C$36+$A80*Costeo!$D$36+0*Costeo!$E$36)/5000,0)-1)*Costeo!$B$62+IF((0*Costeo!$B$36+0*Costeo!$C$36+$A80*Costeo!$D$36+0*Costeo!$E$36)&gt;5000,32-Costeo!$B$61,0))*Costeo!$B$51,2))))&gt;=0),$A80,1000000000)</f>
        <v>1000000000</v>
      </c>
      <c r="E80" s="121">
        <f>IF(AND($A80*Costeo!$E$36&lt;=10000,(($A80)*$D$12-$B$4-((ROUND((MAX(0,(0*Costeo!$B$117+0*Costeo!$C$117+0*Costeo!$D$117+$A80*Costeo!$E$117)-100)*Costeo!$B$53+MAX(0,(0*Costeo!$B$118+0*Costeo!$C$118+0*Costeo!$D$118+$A80*Costeo!$E$118)-250)*Costeo!$B$52+(MAX(0,ROUNDUP(((0*Costeo!$B$116+0*Costeo!$C$116)+(0*Costeo!$D$116+$A80*Costeo!$E$116)*0.05)*2,0)-8)+(0*Costeo!$B$131+0*Costeo!$C$131+0*Costeo!$D$131+$A80*Costeo!$E$131))*Costeo!$B$54+IF((0*Costeo!$B$36+0*Costeo!$C$36)&lt;=2000,10,IF((0*Costeo!$B$36+0*Costeo!$C$36)&lt;=5000,15,IF((0*Costeo!$B$36+0*Costeo!$C$36)&lt;=10000,60,110)))-10)*Costeo!$B$51,2))+(ROUND((MAX(0,(0*Costeo!$B$130+0*Costeo!$C$130+0*Costeo!$D$130+$A80*Costeo!$E$130)+20*2*2*Costeo!$B$69+30*(1/3600*Costeo!$B$55+5/3600*Costeo!$B$56)-Costeo!$B$58)+IF(AND((0*Costeo!$B$120+0*Costeo!$C$120+0*Costeo!$D$120+$A80*Costeo!$E$120)&lt;=1000000,(0*Costeo!$B$119+0*Costeo!$C$119+0*Costeo!$D$119+$A80*Costeo!$E$119)&lt;=1000),0,IF((0*Costeo!$B$120+0*Costeo!$C$120+0*Costeo!$D$120+$A80*Costeo!$E$120)&lt;=10000000,20,IF((0*Costeo!$B$120+0*Costeo!$C$120+0*Costeo!$D$120+$A80*Costeo!$E$120)&lt;=50000000,100,300)))+MAX(0,ROUNDUP((0*Costeo!$B$36+0*Costeo!$C$36+0*Costeo!$D$36+$A80*Costeo!$E$36)/5000,0)-1)*Costeo!$B$62+IF((0*Costeo!$B$36+0*Costeo!$C$36+0*Costeo!$D$36+$A80*Costeo!$E$36)&gt;5000,32-Costeo!$B$61,0))*Costeo!$B$51,2))))&gt;=0),$A80,1000000000)</f>
        <v>1000000000</v>
      </c>
    </row>
    <row r="81" hidden="1" outlineLevel="1" ht="30" customHeight="1" s="61">
      <c r="A81" s="52" t="n">
        <v>30</v>
      </c>
      <c r="B81" s="121">
        <f>IF(AND($A81*Costeo!$B$36&lt;=10000,(($A81)*$D$9-$B$4-((ROUND((MAX(0,($A81*Costeo!$B$117+0*Costeo!$C$117+0*Costeo!$D$117+0*Costeo!$E$117)-100)*Costeo!$B$53+MAX(0,($A81*Costeo!$B$118+0*Costeo!$C$118+0*Costeo!$D$118+0*Costeo!$E$118)-250)*Costeo!$B$52+(MAX(0,ROUNDUP((($A81*Costeo!$B$116+0*Costeo!$C$116)+(0*Costeo!$D$116+0*Costeo!$E$116)*0.05)*2,0)-8)+($A81*Costeo!$B$131+0*Costeo!$C$131+0*Costeo!$D$131+0*Costeo!$E$131))*Costeo!$B$54+IF(($A81*Costeo!$B$36+0*Costeo!$C$36)&lt;=2000,10,IF(($A81*Costeo!$B$36+0*Costeo!$C$36)&lt;=5000,15,IF(($A81*Costeo!$B$36+0*Costeo!$C$36)&lt;=10000,60,110)))-10)*Costeo!$B$51,2))+(ROUND((MAX(0,($A81*Costeo!$B$130+0*Costeo!$C$130+0*Costeo!$D$130+0*Costeo!$E$130)+20*2*2*Costeo!$B$69+30*(1/3600*Costeo!$B$55+5/3600*Costeo!$B$56)-Costeo!$B$58)+IF(AND(($A81*Costeo!$B$120+0*Costeo!$C$120+0*Costeo!$D$120+0*Costeo!$E$120)&lt;=1000000,($A81*Costeo!$B$119+0*Costeo!$C$119+0*Costeo!$D$119+0*Costeo!$E$119)&lt;=1000),0,IF(($A81*Costeo!$B$120+0*Costeo!$C$120+0*Costeo!$D$120+0*Costeo!$E$120)&lt;=10000000,20,IF(($A81*Costeo!$B$120+0*Costeo!$C$120+0*Costeo!$D$120+0*Costeo!$E$120)&lt;=50000000,100,300)))+MAX(0,ROUNDUP(($A81*Costeo!$B$36+0*Costeo!$C$36+0*Costeo!$D$36+0*Costeo!$E$36)/5000,0)-1)*Costeo!$B$62+IF(($A81*Costeo!$B$36+0*Costeo!$C$36+0*Costeo!$D$36+0*Costeo!$E$36)&gt;5000,32-Costeo!$B$61,0))*Costeo!$B$51,2))))&gt;=0),$A81,1000000000)</f>
        <v>30</v>
      </c>
      <c r="C81" s="121">
        <f>IF(AND($A81*Costeo!$C$36&lt;=10000,(($A81)*$D$10-$B$4-((ROUND((MAX(0,(0*Costeo!$B$117+$A81*Costeo!$C$117+0*Costeo!$D$117+0*Costeo!$E$117)-100)*Costeo!$B$53+MAX(0,(0*Costeo!$B$118+$A81*Costeo!$C$118+0*Costeo!$D$118+0*Costeo!$E$118)-250)*Costeo!$B$52+(MAX(0,ROUNDUP(((0*Costeo!$B$116+$A81*Costeo!$C$116)+(0*Costeo!$D$116+0*Costeo!$E$116)*0.05)*2,0)-8)+(0*Costeo!$B$131+$A81*Costeo!$C$131+0*Costeo!$D$131+0*Costeo!$E$131))*Costeo!$B$54+IF((0*Costeo!$B$36+$A81*Costeo!$C$36)&lt;=2000,10,IF((0*Costeo!$B$36+$A81*Costeo!$C$36)&lt;=5000,15,IF((0*Costeo!$B$36+$A81*Costeo!$C$36)&lt;=10000,60,110)))-10)*Costeo!$B$51,2))+(ROUND((MAX(0,(0*Costeo!$B$130+$A81*Costeo!$C$130+0*Costeo!$D$130+0*Costeo!$E$130)+20*2*2*Costeo!$B$69+30*(1/3600*Costeo!$B$55+5/3600*Costeo!$B$56)-Costeo!$B$58)+IF(AND((0*Costeo!$B$120+$A81*Costeo!$C$120+0*Costeo!$D$120+0*Costeo!$E$120)&lt;=1000000,(0*Costeo!$B$119+$A81*Costeo!$C$119+0*Costeo!$D$119+0*Costeo!$E$119)&lt;=1000),0,IF((0*Costeo!$B$120+$A81*Costeo!$C$120+0*Costeo!$D$120+0*Costeo!$E$120)&lt;=10000000,20,IF((0*Costeo!$B$120+$A81*Costeo!$C$120+0*Costeo!$D$120+0*Costeo!$E$120)&lt;=50000000,100,300)))+MAX(0,ROUNDUP((0*Costeo!$B$36+$A81*Costeo!$C$36+0*Costeo!$D$36+0*Costeo!$E$36)/5000,0)-1)*Costeo!$B$62+IF((0*Costeo!$B$36+$A81*Costeo!$C$36+0*Costeo!$D$36+0*Costeo!$E$36)&gt;5000,32-Costeo!$B$61,0))*Costeo!$B$51,2))))&gt;=0),$A81,1000000000)</f>
        <v>30</v>
      </c>
      <c r="D81" s="121">
        <f>IF(AND($A81*Costeo!$D$36&lt;=10000,(($A81)*$D$11-$B$4-((ROUND((MAX(0,(0*Costeo!$B$117+0*Costeo!$C$117+$A81*Costeo!$D$117+0*Costeo!$E$117)-100)*Costeo!$B$53+MAX(0,(0*Costeo!$B$118+0*Costeo!$C$118+$A81*Costeo!$D$118+0*Costeo!$E$118)-250)*Costeo!$B$52+(MAX(0,ROUNDUP(((0*Costeo!$B$116+0*Costeo!$C$116)+($A81*Costeo!$D$116+0*Costeo!$E$116)*0.05)*2,0)-8)+(0*Costeo!$B$131+0*Costeo!$C$131+$A81*Costeo!$D$131+0*Costeo!$E$131))*Costeo!$B$54+IF((0*Costeo!$B$36+0*Costeo!$C$36)&lt;=2000,10,IF((0*Costeo!$B$36+0*Costeo!$C$36)&lt;=5000,15,IF((0*Costeo!$B$36+0*Costeo!$C$36)&lt;=10000,60,110)))-10)*Costeo!$B$51,2))+(ROUND((MAX(0,(0*Costeo!$B$130+0*Costeo!$C$130+$A81*Costeo!$D$130+0*Costeo!$E$130)+20*2*2*Costeo!$B$69+30*(1/3600*Costeo!$B$55+5/3600*Costeo!$B$56)-Costeo!$B$58)+IF(AND((0*Costeo!$B$120+0*Costeo!$C$120+$A81*Costeo!$D$120+0*Costeo!$E$120)&lt;=1000000,(0*Costeo!$B$119+0*Costeo!$C$119+$A81*Costeo!$D$119+0*Costeo!$E$119)&lt;=1000),0,IF((0*Costeo!$B$120+0*Costeo!$C$120+$A81*Costeo!$D$120+0*Costeo!$E$120)&lt;=10000000,20,IF((0*Costeo!$B$120+0*Costeo!$C$120+$A81*Costeo!$D$120+0*Costeo!$E$120)&lt;=50000000,100,300)))+MAX(0,ROUNDUP((0*Costeo!$B$36+0*Costeo!$C$36+$A81*Costeo!$D$36+0*Costeo!$E$36)/5000,0)-1)*Costeo!$B$62+IF((0*Costeo!$B$36+0*Costeo!$C$36+$A81*Costeo!$D$36+0*Costeo!$E$36)&gt;5000,32-Costeo!$B$61,0))*Costeo!$B$51,2))))&gt;=0),$A81,1000000000)</f>
        <v>1000000000</v>
      </c>
      <c r="E81" s="121">
        <f>IF(AND($A81*Costeo!$E$36&lt;=10000,(($A81)*$D$12-$B$4-((ROUND((MAX(0,(0*Costeo!$B$117+0*Costeo!$C$117+0*Costeo!$D$117+$A81*Costeo!$E$117)-100)*Costeo!$B$53+MAX(0,(0*Costeo!$B$118+0*Costeo!$C$118+0*Costeo!$D$118+$A81*Costeo!$E$118)-250)*Costeo!$B$52+(MAX(0,ROUNDUP(((0*Costeo!$B$116+0*Costeo!$C$116)+(0*Costeo!$D$116+$A81*Costeo!$E$116)*0.05)*2,0)-8)+(0*Costeo!$B$131+0*Costeo!$C$131+0*Costeo!$D$131+$A81*Costeo!$E$131))*Costeo!$B$54+IF((0*Costeo!$B$36+0*Costeo!$C$36)&lt;=2000,10,IF((0*Costeo!$B$36+0*Costeo!$C$36)&lt;=5000,15,IF((0*Costeo!$B$36+0*Costeo!$C$36)&lt;=10000,60,110)))-10)*Costeo!$B$51,2))+(ROUND((MAX(0,(0*Costeo!$B$130+0*Costeo!$C$130+0*Costeo!$D$130+$A81*Costeo!$E$130)+20*2*2*Costeo!$B$69+30*(1/3600*Costeo!$B$55+5/3600*Costeo!$B$56)-Costeo!$B$58)+IF(AND((0*Costeo!$B$120+0*Costeo!$C$120+0*Costeo!$D$120+$A81*Costeo!$E$120)&lt;=1000000,(0*Costeo!$B$119+0*Costeo!$C$119+0*Costeo!$D$119+$A81*Costeo!$E$119)&lt;=1000),0,IF((0*Costeo!$B$120+0*Costeo!$C$120+0*Costeo!$D$120+$A81*Costeo!$E$120)&lt;=10000000,20,IF((0*Costeo!$B$120+0*Costeo!$C$120+0*Costeo!$D$120+$A81*Costeo!$E$120)&lt;=50000000,100,300)))+MAX(0,ROUNDUP((0*Costeo!$B$36+0*Costeo!$C$36+0*Costeo!$D$36+$A81*Costeo!$E$36)/5000,0)-1)*Costeo!$B$62+IF((0*Costeo!$B$36+0*Costeo!$C$36+0*Costeo!$D$36+$A81*Costeo!$E$36)&gt;5000,32-Costeo!$B$61,0))*Costeo!$B$51,2))))&gt;=0),$A81,1000000000)</f>
        <v>1000000000</v>
      </c>
    </row>
    <row r="82" hidden="1" outlineLevel="1" ht="30" customHeight="1" s="61">
      <c r="A82" s="52" t="n">
        <v>31</v>
      </c>
      <c r="B82" s="121">
        <f>IF(AND($A82*Costeo!$B$36&lt;=10000,(($A82)*$D$9-$B$4-((ROUND((MAX(0,($A82*Costeo!$B$117+0*Costeo!$C$117+0*Costeo!$D$117+0*Costeo!$E$117)-100)*Costeo!$B$53+MAX(0,($A82*Costeo!$B$118+0*Costeo!$C$118+0*Costeo!$D$118+0*Costeo!$E$118)-250)*Costeo!$B$52+(MAX(0,ROUNDUP((($A82*Costeo!$B$116+0*Costeo!$C$116)+(0*Costeo!$D$116+0*Costeo!$E$116)*0.05)*2,0)-8)+($A82*Costeo!$B$131+0*Costeo!$C$131+0*Costeo!$D$131+0*Costeo!$E$131))*Costeo!$B$54+IF(($A82*Costeo!$B$36+0*Costeo!$C$36)&lt;=2000,10,IF(($A82*Costeo!$B$36+0*Costeo!$C$36)&lt;=5000,15,IF(($A82*Costeo!$B$36+0*Costeo!$C$36)&lt;=10000,60,110)))-10)*Costeo!$B$51,2))+(ROUND((MAX(0,($A82*Costeo!$B$130+0*Costeo!$C$130+0*Costeo!$D$130+0*Costeo!$E$130)+20*2*2*Costeo!$B$69+30*(1/3600*Costeo!$B$55+5/3600*Costeo!$B$56)-Costeo!$B$58)+IF(AND(($A82*Costeo!$B$120+0*Costeo!$C$120+0*Costeo!$D$120+0*Costeo!$E$120)&lt;=1000000,($A82*Costeo!$B$119+0*Costeo!$C$119+0*Costeo!$D$119+0*Costeo!$E$119)&lt;=1000),0,IF(($A82*Costeo!$B$120+0*Costeo!$C$120+0*Costeo!$D$120+0*Costeo!$E$120)&lt;=10000000,20,IF(($A82*Costeo!$B$120+0*Costeo!$C$120+0*Costeo!$D$120+0*Costeo!$E$120)&lt;=50000000,100,300)))+MAX(0,ROUNDUP(($A82*Costeo!$B$36+0*Costeo!$C$36+0*Costeo!$D$36+0*Costeo!$E$36)/5000,0)-1)*Costeo!$B$62+IF(($A82*Costeo!$B$36+0*Costeo!$C$36+0*Costeo!$D$36+0*Costeo!$E$36)&gt;5000,32-Costeo!$B$61,0))*Costeo!$B$51,2))))&gt;=0),$A82,1000000000)</f>
        <v>31</v>
      </c>
      <c r="C82" s="121">
        <f>IF(AND($A82*Costeo!$C$36&lt;=10000,(($A82)*$D$10-$B$4-((ROUND((MAX(0,(0*Costeo!$B$117+$A82*Costeo!$C$117+0*Costeo!$D$117+0*Costeo!$E$117)-100)*Costeo!$B$53+MAX(0,(0*Costeo!$B$118+$A82*Costeo!$C$118+0*Costeo!$D$118+0*Costeo!$E$118)-250)*Costeo!$B$52+(MAX(0,ROUNDUP(((0*Costeo!$B$116+$A82*Costeo!$C$116)+(0*Costeo!$D$116+0*Costeo!$E$116)*0.05)*2,0)-8)+(0*Costeo!$B$131+$A82*Costeo!$C$131+0*Costeo!$D$131+0*Costeo!$E$131))*Costeo!$B$54+IF((0*Costeo!$B$36+$A82*Costeo!$C$36)&lt;=2000,10,IF((0*Costeo!$B$36+$A82*Costeo!$C$36)&lt;=5000,15,IF((0*Costeo!$B$36+$A82*Costeo!$C$36)&lt;=10000,60,110)))-10)*Costeo!$B$51,2))+(ROUND((MAX(0,(0*Costeo!$B$130+$A82*Costeo!$C$130+0*Costeo!$D$130+0*Costeo!$E$130)+20*2*2*Costeo!$B$69+30*(1/3600*Costeo!$B$55+5/3600*Costeo!$B$56)-Costeo!$B$58)+IF(AND((0*Costeo!$B$120+$A82*Costeo!$C$120+0*Costeo!$D$120+0*Costeo!$E$120)&lt;=1000000,(0*Costeo!$B$119+$A82*Costeo!$C$119+0*Costeo!$D$119+0*Costeo!$E$119)&lt;=1000),0,IF((0*Costeo!$B$120+$A82*Costeo!$C$120+0*Costeo!$D$120+0*Costeo!$E$120)&lt;=10000000,20,IF((0*Costeo!$B$120+$A82*Costeo!$C$120+0*Costeo!$D$120+0*Costeo!$E$120)&lt;=50000000,100,300)))+MAX(0,ROUNDUP((0*Costeo!$B$36+$A82*Costeo!$C$36+0*Costeo!$D$36+0*Costeo!$E$36)/5000,0)-1)*Costeo!$B$62+IF((0*Costeo!$B$36+$A82*Costeo!$C$36+0*Costeo!$D$36+0*Costeo!$E$36)&gt;5000,32-Costeo!$B$61,0))*Costeo!$B$51,2))))&gt;=0),$A82,1000000000)</f>
        <v>31</v>
      </c>
      <c r="D82" s="121">
        <f>IF(AND($A82*Costeo!$D$36&lt;=10000,(($A82)*$D$11-$B$4-((ROUND((MAX(0,(0*Costeo!$B$117+0*Costeo!$C$117+$A82*Costeo!$D$117+0*Costeo!$E$117)-100)*Costeo!$B$53+MAX(0,(0*Costeo!$B$118+0*Costeo!$C$118+$A82*Costeo!$D$118+0*Costeo!$E$118)-250)*Costeo!$B$52+(MAX(0,ROUNDUP(((0*Costeo!$B$116+0*Costeo!$C$116)+($A82*Costeo!$D$116+0*Costeo!$E$116)*0.05)*2,0)-8)+(0*Costeo!$B$131+0*Costeo!$C$131+$A82*Costeo!$D$131+0*Costeo!$E$131))*Costeo!$B$54+IF((0*Costeo!$B$36+0*Costeo!$C$36)&lt;=2000,10,IF((0*Costeo!$B$36+0*Costeo!$C$36)&lt;=5000,15,IF((0*Costeo!$B$36+0*Costeo!$C$36)&lt;=10000,60,110)))-10)*Costeo!$B$51,2))+(ROUND((MAX(0,(0*Costeo!$B$130+0*Costeo!$C$130+$A82*Costeo!$D$130+0*Costeo!$E$130)+20*2*2*Costeo!$B$69+30*(1/3600*Costeo!$B$55+5/3600*Costeo!$B$56)-Costeo!$B$58)+IF(AND((0*Costeo!$B$120+0*Costeo!$C$120+$A82*Costeo!$D$120+0*Costeo!$E$120)&lt;=1000000,(0*Costeo!$B$119+0*Costeo!$C$119+$A82*Costeo!$D$119+0*Costeo!$E$119)&lt;=1000),0,IF((0*Costeo!$B$120+0*Costeo!$C$120+$A82*Costeo!$D$120+0*Costeo!$E$120)&lt;=10000000,20,IF((0*Costeo!$B$120+0*Costeo!$C$120+$A82*Costeo!$D$120+0*Costeo!$E$120)&lt;=50000000,100,300)))+MAX(0,ROUNDUP((0*Costeo!$B$36+0*Costeo!$C$36+$A82*Costeo!$D$36+0*Costeo!$E$36)/5000,0)-1)*Costeo!$B$62+IF((0*Costeo!$B$36+0*Costeo!$C$36+$A82*Costeo!$D$36+0*Costeo!$E$36)&gt;5000,32-Costeo!$B$61,0))*Costeo!$B$51,2))))&gt;=0),$A82,1000000000)</f>
        <v>1000000000</v>
      </c>
      <c r="E82" s="121">
        <f>IF(AND($A82*Costeo!$E$36&lt;=10000,(($A82)*$D$12-$B$4-((ROUND((MAX(0,(0*Costeo!$B$117+0*Costeo!$C$117+0*Costeo!$D$117+$A82*Costeo!$E$117)-100)*Costeo!$B$53+MAX(0,(0*Costeo!$B$118+0*Costeo!$C$118+0*Costeo!$D$118+$A82*Costeo!$E$118)-250)*Costeo!$B$52+(MAX(0,ROUNDUP(((0*Costeo!$B$116+0*Costeo!$C$116)+(0*Costeo!$D$116+$A82*Costeo!$E$116)*0.05)*2,0)-8)+(0*Costeo!$B$131+0*Costeo!$C$131+0*Costeo!$D$131+$A82*Costeo!$E$131))*Costeo!$B$54+IF((0*Costeo!$B$36+0*Costeo!$C$36)&lt;=2000,10,IF((0*Costeo!$B$36+0*Costeo!$C$36)&lt;=5000,15,IF((0*Costeo!$B$36+0*Costeo!$C$36)&lt;=10000,60,110)))-10)*Costeo!$B$51,2))+(ROUND((MAX(0,(0*Costeo!$B$130+0*Costeo!$C$130+0*Costeo!$D$130+$A82*Costeo!$E$130)+20*2*2*Costeo!$B$69+30*(1/3600*Costeo!$B$55+5/3600*Costeo!$B$56)-Costeo!$B$58)+IF(AND((0*Costeo!$B$120+0*Costeo!$C$120+0*Costeo!$D$120+$A82*Costeo!$E$120)&lt;=1000000,(0*Costeo!$B$119+0*Costeo!$C$119+0*Costeo!$D$119+$A82*Costeo!$E$119)&lt;=1000),0,IF((0*Costeo!$B$120+0*Costeo!$C$120+0*Costeo!$D$120+$A82*Costeo!$E$120)&lt;=10000000,20,IF((0*Costeo!$B$120+0*Costeo!$C$120+0*Costeo!$D$120+$A82*Costeo!$E$120)&lt;=50000000,100,300)))+MAX(0,ROUNDUP((0*Costeo!$B$36+0*Costeo!$C$36+0*Costeo!$D$36+$A82*Costeo!$E$36)/5000,0)-1)*Costeo!$B$62+IF((0*Costeo!$B$36+0*Costeo!$C$36+0*Costeo!$D$36+$A82*Costeo!$E$36)&gt;5000,32-Costeo!$B$61,0))*Costeo!$B$51,2))))&gt;=0),$A82,1000000000)</f>
        <v>1000000000</v>
      </c>
    </row>
    <row r="83" hidden="1" outlineLevel="1" ht="30" customHeight="1" s="61">
      <c r="A83" s="52" t="n">
        <v>32</v>
      </c>
      <c r="B83" s="121">
        <f>IF(AND($A83*Costeo!$B$36&lt;=10000,(($A83)*$D$9-$B$4-((ROUND((MAX(0,($A83*Costeo!$B$117+0*Costeo!$C$117+0*Costeo!$D$117+0*Costeo!$E$117)-100)*Costeo!$B$53+MAX(0,($A83*Costeo!$B$118+0*Costeo!$C$118+0*Costeo!$D$118+0*Costeo!$E$118)-250)*Costeo!$B$52+(MAX(0,ROUNDUP((($A83*Costeo!$B$116+0*Costeo!$C$116)+(0*Costeo!$D$116+0*Costeo!$E$116)*0.05)*2,0)-8)+($A83*Costeo!$B$131+0*Costeo!$C$131+0*Costeo!$D$131+0*Costeo!$E$131))*Costeo!$B$54+IF(($A83*Costeo!$B$36+0*Costeo!$C$36)&lt;=2000,10,IF(($A83*Costeo!$B$36+0*Costeo!$C$36)&lt;=5000,15,IF(($A83*Costeo!$B$36+0*Costeo!$C$36)&lt;=10000,60,110)))-10)*Costeo!$B$51,2))+(ROUND((MAX(0,($A83*Costeo!$B$130+0*Costeo!$C$130+0*Costeo!$D$130+0*Costeo!$E$130)+20*2*2*Costeo!$B$69+30*(1/3600*Costeo!$B$55+5/3600*Costeo!$B$56)-Costeo!$B$58)+IF(AND(($A83*Costeo!$B$120+0*Costeo!$C$120+0*Costeo!$D$120+0*Costeo!$E$120)&lt;=1000000,($A83*Costeo!$B$119+0*Costeo!$C$119+0*Costeo!$D$119+0*Costeo!$E$119)&lt;=1000),0,IF(($A83*Costeo!$B$120+0*Costeo!$C$120+0*Costeo!$D$120+0*Costeo!$E$120)&lt;=10000000,20,IF(($A83*Costeo!$B$120+0*Costeo!$C$120+0*Costeo!$D$120+0*Costeo!$E$120)&lt;=50000000,100,300)))+MAX(0,ROUNDUP(($A83*Costeo!$B$36+0*Costeo!$C$36+0*Costeo!$D$36+0*Costeo!$E$36)/5000,0)-1)*Costeo!$B$62+IF(($A83*Costeo!$B$36+0*Costeo!$C$36+0*Costeo!$D$36+0*Costeo!$E$36)&gt;5000,32-Costeo!$B$61,0))*Costeo!$B$51,2))))&gt;=0),$A83,1000000000)</f>
        <v>32</v>
      </c>
      <c r="C83" s="121">
        <f>IF(AND($A83*Costeo!$C$36&lt;=10000,(($A83)*$D$10-$B$4-((ROUND((MAX(0,(0*Costeo!$B$117+$A83*Costeo!$C$117+0*Costeo!$D$117+0*Costeo!$E$117)-100)*Costeo!$B$53+MAX(0,(0*Costeo!$B$118+$A83*Costeo!$C$118+0*Costeo!$D$118+0*Costeo!$E$118)-250)*Costeo!$B$52+(MAX(0,ROUNDUP(((0*Costeo!$B$116+$A83*Costeo!$C$116)+(0*Costeo!$D$116+0*Costeo!$E$116)*0.05)*2,0)-8)+(0*Costeo!$B$131+$A83*Costeo!$C$131+0*Costeo!$D$131+0*Costeo!$E$131))*Costeo!$B$54+IF((0*Costeo!$B$36+$A83*Costeo!$C$36)&lt;=2000,10,IF((0*Costeo!$B$36+$A83*Costeo!$C$36)&lt;=5000,15,IF((0*Costeo!$B$36+$A83*Costeo!$C$36)&lt;=10000,60,110)))-10)*Costeo!$B$51,2))+(ROUND((MAX(0,(0*Costeo!$B$130+$A83*Costeo!$C$130+0*Costeo!$D$130+0*Costeo!$E$130)+20*2*2*Costeo!$B$69+30*(1/3600*Costeo!$B$55+5/3600*Costeo!$B$56)-Costeo!$B$58)+IF(AND((0*Costeo!$B$120+$A83*Costeo!$C$120+0*Costeo!$D$120+0*Costeo!$E$120)&lt;=1000000,(0*Costeo!$B$119+$A83*Costeo!$C$119+0*Costeo!$D$119+0*Costeo!$E$119)&lt;=1000),0,IF((0*Costeo!$B$120+$A83*Costeo!$C$120+0*Costeo!$D$120+0*Costeo!$E$120)&lt;=10000000,20,IF((0*Costeo!$B$120+$A83*Costeo!$C$120+0*Costeo!$D$120+0*Costeo!$E$120)&lt;=50000000,100,300)))+MAX(0,ROUNDUP((0*Costeo!$B$36+$A83*Costeo!$C$36+0*Costeo!$D$36+0*Costeo!$E$36)/5000,0)-1)*Costeo!$B$62+IF((0*Costeo!$B$36+$A83*Costeo!$C$36+0*Costeo!$D$36+0*Costeo!$E$36)&gt;5000,32-Costeo!$B$61,0))*Costeo!$B$51,2))))&gt;=0),$A83,1000000000)</f>
        <v>32</v>
      </c>
      <c r="D83" s="121">
        <f>IF(AND($A83*Costeo!$D$36&lt;=10000,(($A83)*$D$11-$B$4-((ROUND((MAX(0,(0*Costeo!$B$117+0*Costeo!$C$117+$A83*Costeo!$D$117+0*Costeo!$E$117)-100)*Costeo!$B$53+MAX(0,(0*Costeo!$B$118+0*Costeo!$C$118+$A83*Costeo!$D$118+0*Costeo!$E$118)-250)*Costeo!$B$52+(MAX(0,ROUNDUP(((0*Costeo!$B$116+0*Costeo!$C$116)+($A83*Costeo!$D$116+0*Costeo!$E$116)*0.05)*2,0)-8)+(0*Costeo!$B$131+0*Costeo!$C$131+$A83*Costeo!$D$131+0*Costeo!$E$131))*Costeo!$B$54+IF((0*Costeo!$B$36+0*Costeo!$C$36)&lt;=2000,10,IF((0*Costeo!$B$36+0*Costeo!$C$36)&lt;=5000,15,IF((0*Costeo!$B$36+0*Costeo!$C$36)&lt;=10000,60,110)))-10)*Costeo!$B$51,2))+(ROUND((MAX(0,(0*Costeo!$B$130+0*Costeo!$C$130+$A83*Costeo!$D$130+0*Costeo!$E$130)+20*2*2*Costeo!$B$69+30*(1/3600*Costeo!$B$55+5/3600*Costeo!$B$56)-Costeo!$B$58)+IF(AND((0*Costeo!$B$120+0*Costeo!$C$120+$A83*Costeo!$D$120+0*Costeo!$E$120)&lt;=1000000,(0*Costeo!$B$119+0*Costeo!$C$119+$A83*Costeo!$D$119+0*Costeo!$E$119)&lt;=1000),0,IF((0*Costeo!$B$120+0*Costeo!$C$120+$A83*Costeo!$D$120+0*Costeo!$E$120)&lt;=10000000,20,IF((0*Costeo!$B$120+0*Costeo!$C$120+$A83*Costeo!$D$120+0*Costeo!$E$120)&lt;=50000000,100,300)))+MAX(0,ROUNDUP((0*Costeo!$B$36+0*Costeo!$C$36+$A83*Costeo!$D$36+0*Costeo!$E$36)/5000,0)-1)*Costeo!$B$62+IF((0*Costeo!$B$36+0*Costeo!$C$36+$A83*Costeo!$D$36+0*Costeo!$E$36)&gt;5000,32-Costeo!$B$61,0))*Costeo!$B$51,2))))&gt;=0),$A83,1000000000)</f>
        <v>1000000000</v>
      </c>
      <c r="E83" s="121">
        <f>IF(AND($A83*Costeo!$E$36&lt;=10000,(($A83)*$D$12-$B$4-((ROUND((MAX(0,(0*Costeo!$B$117+0*Costeo!$C$117+0*Costeo!$D$117+$A83*Costeo!$E$117)-100)*Costeo!$B$53+MAX(0,(0*Costeo!$B$118+0*Costeo!$C$118+0*Costeo!$D$118+$A83*Costeo!$E$118)-250)*Costeo!$B$52+(MAX(0,ROUNDUP(((0*Costeo!$B$116+0*Costeo!$C$116)+(0*Costeo!$D$116+$A83*Costeo!$E$116)*0.05)*2,0)-8)+(0*Costeo!$B$131+0*Costeo!$C$131+0*Costeo!$D$131+$A83*Costeo!$E$131))*Costeo!$B$54+IF((0*Costeo!$B$36+0*Costeo!$C$36)&lt;=2000,10,IF((0*Costeo!$B$36+0*Costeo!$C$36)&lt;=5000,15,IF((0*Costeo!$B$36+0*Costeo!$C$36)&lt;=10000,60,110)))-10)*Costeo!$B$51,2))+(ROUND((MAX(0,(0*Costeo!$B$130+0*Costeo!$C$130+0*Costeo!$D$130+$A83*Costeo!$E$130)+20*2*2*Costeo!$B$69+30*(1/3600*Costeo!$B$55+5/3600*Costeo!$B$56)-Costeo!$B$58)+IF(AND((0*Costeo!$B$120+0*Costeo!$C$120+0*Costeo!$D$120+$A83*Costeo!$E$120)&lt;=1000000,(0*Costeo!$B$119+0*Costeo!$C$119+0*Costeo!$D$119+$A83*Costeo!$E$119)&lt;=1000),0,IF((0*Costeo!$B$120+0*Costeo!$C$120+0*Costeo!$D$120+$A83*Costeo!$E$120)&lt;=10000000,20,IF((0*Costeo!$B$120+0*Costeo!$C$120+0*Costeo!$D$120+$A83*Costeo!$E$120)&lt;=50000000,100,300)))+MAX(0,ROUNDUP((0*Costeo!$B$36+0*Costeo!$C$36+0*Costeo!$D$36+$A83*Costeo!$E$36)/5000,0)-1)*Costeo!$B$62+IF((0*Costeo!$B$36+0*Costeo!$C$36+0*Costeo!$D$36+$A83*Costeo!$E$36)&gt;5000,32-Costeo!$B$61,0))*Costeo!$B$51,2))))&gt;=0),$A83,1000000000)</f>
        <v>1000000000</v>
      </c>
    </row>
    <row r="84" hidden="1" outlineLevel="1" ht="30" customHeight="1" s="61">
      <c r="A84" s="52" t="n">
        <v>33</v>
      </c>
      <c r="B84" s="121">
        <f>IF(AND($A84*Costeo!$B$36&lt;=10000,(($A84)*$D$9-$B$4-((ROUND((MAX(0,($A84*Costeo!$B$117+0*Costeo!$C$117+0*Costeo!$D$117+0*Costeo!$E$117)-100)*Costeo!$B$53+MAX(0,($A84*Costeo!$B$118+0*Costeo!$C$118+0*Costeo!$D$118+0*Costeo!$E$118)-250)*Costeo!$B$52+(MAX(0,ROUNDUP((($A84*Costeo!$B$116+0*Costeo!$C$116)+(0*Costeo!$D$116+0*Costeo!$E$116)*0.05)*2,0)-8)+($A84*Costeo!$B$131+0*Costeo!$C$131+0*Costeo!$D$131+0*Costeo!$E$131))*Costeo!$B$54+IF(($A84*Costeo!$B$36+0*Costeo!$C$36)&lt;=2000,10,IF(($A84*Costeo!$B$36+0*Costeo!$C$36)&lt;=5000,15,IF(($A84*Costeo!$B$36+0*Costeo!$C$36)&lt;=10000,60,110)))-10)*Costeo!$B$51,2))+(ROUND((MAX(0,($A84*Costeo!$B$130+0*Costeo!$C$130+0*Costeo!$D$130+0*Costeo!$E$130)+20*2*2*Costeo!$B$69+30*(1/3600*Costeo!$B$55+5/3600*Costeo!$B$56)-Costeo!$B$58)+IF(AND(($A84*Costeo!$B$120+0*Costeo!$C$120+0*Costeo!$D$120+0*Costeo!$E$120)&lt;=1000000,($A84*Costeo!$B$119+0*Costeo!$C$119+0*Costeo!$D$119+0*Costeo!$E$119)&lt;=1000),0,IF(($A84*Costeo!$B$120+0*Costeo!$C$120+0*Costeo!$D$120+0*Costeo!$E$120)&lt;=10000000,20,IF(($A84*Costeo!$B$120+0*Costeo!$C$120+0*Costeo!$D$120+0*Costeo!$E$120)&lt;=50000000,100,300)))+MAX(0,ROUNDUP(($A84*Costeo!$B$36+0*Costeo!$C$36+0*Costeo!$D$36+0*Costeo!$E$36)/5000,0)-1)*Costeo!$B$62+IF(($A84*Costeo!$B$36+0*Costeo!$C$36+0*Costeo!$D$36+0*Costeo!$E$36)&gt;5000,32-Costeo!$B$61,0))*Costeo!$B$51,2))))&gt;=0),$A84,1000000000)</f>
        <v>33</v>
      </c>
      <c r="C84" s="121">
        <f>IF(AND($A84*Costeo!$C$36&lt;=10000,(($A84)*$D$10-$B$4-((ROUND((MAX(0,(0*Costeo!$B$117+$A84*Costeo!$C$117+0*Costeo!$D$117+0*Costeo!$E$117)-100)*Costeo!$B$53+MAX(0,(0*Costeo!$B$118+$A84*Costeo!$C$118+0*Costeo!$D$118+0*Costeo!$E$118)-250)*Costeo!$B$52+(MAX(0,ROUNDUP(((0*Costeo!$B$116+$A84*Costeo!$C$116)+(0*Costeo!$D$116+0*Costeo!$E$116)*0.05)*2,0)-8)+(0*Costeo!$B$131+$A84*Costeo!$C$131+0*Costeo!$D$131+0*Costeo!$E$131))*Costeo!$B$54+IF((0*Costeo!$B$36+$A84*Costeo!$C$36)&lt;=2000,10,IF((0*Costeo!$B$36+$A84*Costeo!$C$36)&lt;=5000,15,IF((0*Costeo!$B$36+$A84*Costeo!$C$36)&lt;=10000,60,110)))-10)*Costeo!$B$51,2))+(ROUND((MAX(0,(0*Costeo!$B$130+$A84*Costeo!$C$130+0*Costeo!$D$130+0*Costeo!$E$130)+20*2*2*Costeo!$B$69+30*(1/3600*Costeo!$B$55+5/3600*Costeo!$B$56)-Costeo!$B$58)+IF(AND((0*Costeo!$B$120+$A84*Costeo!$C$120+0*Costeo!$D$120+0*Costeo!$E$120)&lt;=1000000,(0*Costeo!$B$119+$A84*Costeo!$C$119+0*Costeo!$D$119+0*Costeo!$E$119)&lt;=1000),0,IF((0*Costeo!$B$120+$A84*Costeo!$C$120+0*Costeo!$D$120+0*Costeo!$E$120)&lt;=10000000,20,IF((0*Costeo!$B$120+$A84*Costeo!$C$120+0*Costeo!$D$120+0*Costeo!$E$120)&lt;=50000000,100,300)))+MAX(0,ROUNDUP((0*Costeo!$B$36+$A84*Costeo!$C$36+0*Costeo!$D$36+0*Costeo!$E$36)/5000,0)-1)*Costeo!$B$62+IF((0*Costeo!$B$36+$A84*Costeo!$C$36+0*Costeo!$D$36+0*Costeo!$E$36)&gt;5000,32-Costeo!$B$61,0))*Costeo!$B$51,2))))&gt;=0),$A84,1000000000)</f>
        <v>33</v>
      </c>
      <c r="D84" s="121">
        <f>IF(AND($A84*Costeo!$D$36&lt;=10000,(($A84)*$D$11-$B$4-((ROUND((MAX(0,(0*Costeo!$B$117+0*Costeo!$C$117+$A84*Costeo!$D$117+0*Costeo!$E$117)-100)*Costeo!$B$53+MAX(0,(0*Costeo!$B$118+0*Costeo!$C$118+$A84*Costeo!$D$118+0*Costeo!$E$118)-250)*Costeo!$B$52+(MAX(0,ROUNDUP(((0*Costeo!$B$116+0*Costeo!$C$116)+($A84*Costeo!$D$116+0*Costeo!$E$116)*0.05)*2,0)-8)+(0*Costeo!$B$131+0*Costeo!$C$131+$A84*Costeo!$D$131+0*Costeo!$E$131))*Costeo!$B$54+IF((0*Costeo!$B$36+0*Costeo!$C$36)&lt;=2000,10,IF((0*Costeo!$B$36+0*Costeo!$C$36)&lt;=5000,15,IF((0*Costeo!$B$36+0*Costeo!$C$36)&lt;=10000,60,110)))-10)*Costeo!$B$51,2))+(ROUND((MAX(0,(0*Costeo!$B$130+0*Costeo!$C$130+$A84*Costeo!$D$130+0*Costeo!$E$130)+20*2*2*Costeo!$B$69+30*(1/3600*Costeo!$B$55+5/3600*Costeo!$B$56)-Costeo!$B$58)+IF(AND((0*Costeo!$B$120+0*Costeo!$C$120+$A84*Costeo!$D$120+0*Costeo!$E$120)&lt;=1000000,(0*Costeo!$B$119+0*Costeo!$C$119+$A84*Costeo!$D$119+0*Costeo!$E$119)&lt;=1000),0,IF((0*Costeo!$B$120+0*Costeo!$C$120+$A84*Costeo!$D$120+0*Costeo!$E$120)&lt;=10000000,20,IF((0*Costeo!$B$120+0*Costeo!$C$120+$A84*Costeo!$D$120+0*Costeo!$E$120)&lt;=50000000,100,300)))+MAX(0,ROUNDUP((0*Costeo!$B$36+0*Costeo!$C$36+$A84*Costeo!$D$36+0*Costeo!$E$36)/5000,0)-1)*Costeo!$B$62+IF((0*Costeo!$B$36+0*Costeo!$C$36+$A84*Costeo!$D$36+0*Costeo!$E$36)&gt;5000,32-Costeo!$B$61,0))*Costeo!$B$51,2))))&gt;=0),$A84,1000000000)</f>
        <v>1000000000</v>
      </c>
      <c r="E84" s="121">
        <f>IF(AND($A84*Costeo!$E$36&lt;=10000,(($A84)*$D$12-$B$4-((ROUND((MAX(0,(0*Costeo!$B$117+0*Costeo!$C$117+0*Costeo!$D$117+$A84*Costeo!$E$117)-100)*Costeo!$B$53+MAX(0,(0*Costeo!$B$118+0*Costeo!$C$118+0*Costeo!$D$118+$A84*Costeo!$E$118)-250)*Costeo!$B$52+(MAX(0,ROUNDUP(((0*Costeo!$B$116+0*Costeo!$C$116)+(0*Costeo!$D$116+$A84*Costeo!$E$116)*0.05)*2,0)-8)+(0*Costeo!$B$131+0*Costeo!$C$131+0*Costeo!$D$131+$A84*Costeo!$E$131))*Costeo!$B$54+IF((0*Costeo!$B$36+0*Costeo!$C$36)&lt;=2000,10,IF((0*Costeo!$B$36+0*Costeo!$C$36)&lt;=5000,15,IF((0*Costeo!$B$36+0*Costeo!$C$36)&lt;=10000,60,110)))-10)*Costeo!$B$51,2))+(ROUND((MAX(0,(0*Costeo!$B$130+0*Costeo!$C$130+0*Costeo!$D$130+$A84*Costeo!$E$130)+20*2*2*Costeo!$B$69+30*(1/3600*Costeo!$B$55+5/3600*Costeo!$B$56)-Costeo!$B$58)+IF(AND((0*Costeo!$B$120+0*Costeo!$C$120+0*Costeo!$D$120+$A84*Costeo!$E$120)&lt;=1000000,(0*Costeo!$B$119+0*Costeo!$C$119+0*Costeo!$D$119+$A84*Costeo!$E$119)&lt;=1000),0,IF((0*Costeo!$B$120+0*Costeo!$C$120+0*Costeo!$D$120+$A84*Costeo!$E$120)&lt;=10000000,20,IF((0*Costeo!$B$120+0*Costeo!$C$120+0*Costeo!$D$120+$A84*Costeo!$E$120)&lt;=50000000,100,300)))+MAX(0,ROUNDUP((0*Costeo!$B$36+0*Costeo!$C$36+0*Costeo!$D$36+$A84*Costeo!$E$36)/5000,0)-1)*Costeo!$B$62+IF((0*Costeo!$B$36+0*Costeo!$C$36+0*Costeo!$D$36+$A84*Costeo!$E$36)&gt;5000,32-Costeo!$B$61,0))*Costeo!$B$51,2))))&gt;=0),$A84,1000000000)</f>
        <v>1000000000</v>
      </c>
    </row>
    <row r="85" hidden="1" outlineLevel="1" ht="30" customHeight="1" s="61">
      <c r="A85" s="52" t="n">
        <v>34</v>
      </c>
      <c r="B85" s="121">
        <f>IF(AND($A85*Costeo!$B$36&lt;=10000,(($A85)*$D$9-$B$4-((ROUND((MAX(0,($A85*Costeo!$B$117+0*Costeo!$C$117+0*Costeo!$D$117+0*Costeo!$E$117)-100)*Costeo!$B$53+MAX(0,($A85*Costeo!$B$118+0*Costeo!$C$118+0*Costeo!$D$118+0*Costeo!$E$118)-250)*Costeo!$B$52+(MAX(0,ROUNDUP((($A85*Costeo!$B$116+0*Costeo!$C$116)+(0*Costeo!$D$116+0*Costeo!$E$116)*0.05)*2,0)-8)+($A85*Costeo!$B$131+0*Costeo!$C$131+0*Costeo!$D$131+0*Costeo!$E$131))*Costeo!$B$54+IF(($A85*Costeo!$B$36+0*Costeo!$C$36)&lt;=2000,10,IF(($A85*Costeo!$B$36+0*Costeo!$C$36)&lt;=5000,15,IF(($A85*Costeo!$B$36+0*Costeo!$C$36)&lt;=10000,60,110)))-10)*Costeo!$B$51,2))+(ROUND((MAX(0,($A85*Costeo!$B$130+0*Costeo!$C$130+0*Costeo!$D$130+0*Costeo!$E$130)+20*2*2*Costeo!$B$69+30*(1/3600*Costeo!$B$55+5/3600*Costeo!$B$56)-Costeo!$B$58)+IF(AND(($A85*Costeo!$B$120+0*Costeo!$C$120+0*Costeo!$D$120+0*Costeo!$E$120)&lt;=1000000,($A85*Costeo!$B$119+0*Costeo!$C$119+0*Costeo!$D$119+0*Costeo!$E$119)&lt;=1000),0,IF(($A85*Costeo!$B$120+0*Costeo!$C$120+0*Costeo!$D$120+0*Costeo!$E$120)&lt;=10000000,20,IF(($A85*Costeo!$B$120+0*Costeo!$C$120+0*Costeo!$D$120+0*Costeo!$E$120)&lt;=50000000,100,300)))+MAX(0,ROUNDUP(($A85*Costeo!$B$36+0*Costeo!$C$36+0*Costeo!$D$36+0*Costeo!$E$36)/5000,0)-1)*Costeo!$B$62+IF(($A85*Costeo!$B$36+0*Costeo!$C$36+0*Costeo!$D$36+0*Costeo!$E$36)&gt;5000,32-Costeo!$B$61,0))*Costeo!$B$51,2))))&gt;=0),$A85,1000000000)</f>
        <v>34</v>
      </c>
      <c r="C85" s="121">
        <f>IF(AND($A85*Costeo!$C$36&lt;=10000,(($A85)*$D$10-$B$4-((ROUND((MAX(0,(0*Costeo!$B$117+$A85*Costeo!$C$117+0*Costeo!$D$117+0*Costeo!$E$117)-100)*Costeo!$B$53+MAX(0,(0*Costeo!$B$118+$A85*Costeo!$C$118+0*Costeo!$D$118+0*Costeo!$E$118)-250)*Costeo!$B$52+(MAX(0,ROUNDUP(((0*Costeo!$B$116+$A85*Costeo!$C$116)+(0*Costeo!$D$116+0*Costeo!$E$116)*0.05)*2,0)-8)+(0*Costeo!$B$131+$A85*Costeo!$C$131+0*Costeo!$D$131+0*Costeo!$E$131))*Costeo!$B$54+IF((0*Costeo!$B$36+$A85*Costeo!$C$36)&lt;=2000,10,IF((0*Costeo!$B$36+$A85*Costeo!$C$36)&lt;=5000,15,IF((0*Costeo!$B$36+$A85*Costeo!$C$36)&lt;=10000,60,110)))-10)*Costeo!$B$51,2))+(ROUND((MAX(0,(0*Costeo!$B$130+$A85*Costeo!$C$130+0*Costeo!$D$130+0*Costeo!$E$130)+20*2*2*Costeo!$B$69+30*(1/3600*Costeo!$B$55+5/3600*Costeo!$B$56)-Costeo!$B$58)+IF(AND((0*Costeo!$B$120+$A85*Costeo!$C$120+0*Costeo!$D$120+0*Costeo!$E$120)&lt;=1000000,(0*Costeo!$B$119+$A85*Costeo!$C$119+0*Costeo!$D$119+0*Costeo!$E$119)&lt;=1000),0,IF((0*Costeo!$B$120+$A85*Costeo!$C$120+0*Costeo!$D$120+0*Costeo!$E$120)&lt;=10000000,20,IF((0*Costeo!$B$120+$A85*Costeo!$C$120+0*Costeo!$D$120+0*Costeo!$E$120)&lt;=50000000,100,300)))+MAX(0,ROUNDUP((0*Costeo!$B$36+$A85*Costeo!$C$36+0*Costeo!$D$36+0*Costeo!$E$36)/5000,0)-1)*Costeo!$B$62+IF((0*Costeo!$B$36+$A85*Costeo!$C$36+0*Costeo!$D$36+0*Costeo!$E$36)&gt;5000,32-Costeo!$B$61,0))*Costeo!$B$51,2))))&gt;=0),$A85,1000000000)</f>
        <v>34</v>
      </c>
      <c r="D85" s="121">
        <f>IF(AND($A85*Costeo!$D$36&lt;=10000,(($A85)*$D$11-$B$4-((ROUND((MAX(0,(0*Costeo!$B$117+0*Costeo!$C$117+$A85*Costeo!$D$117+0*Costeo!$E$117)-100)*Costeo!$B$53+MAX(0,(0*Costeo!$B$118+0*Costeo!$C$118+$A85*Costeo!$D$118+0*Costeo!$E$118)-250)*Costeo!$B$52+(MAX(0,ROUNDUP(((0*Costeo!$B$116+0*Costeo!$C$116)+($A85*Costeo!$D$116+0*Costeo!$E$116)*0.05)*2,0)-8)+(0*Costeo!$B$131+0*Costeo!$C$131+$A85*Costeo!$D$131+0*Costeo!$E$131))*Costeo!$B$54+IF((0*Costeo!$B$36+0*Costeo!$C$36)&lt;=2000,10,IF((0*Costeo!$B$36+0*Costeo!$C$36)&lt;=5000,15,IF((0*Costeo!$B$36+0*Costeo!$C$36)&lt;=10000,60,110)))-10)*Costeo!$B$51,2))+(ROUND((MAX(0,(0*Costeo!$B$130+0*Costeo!$C$130+$A85*Costeo!$D$130+0*Costeo!$E$130)+20*2*2*Costeo!$B$69+30*(1/3600*Costeo!$B$55+5/3600*Costeo!$B$56)-Costeo!$B$58)+IF(AND((0*Costeo!$B$120+0*Costeo!$C$120+$A85*Costeo!$D$120+0*Costeo!$E$120)&lt;=1000000,(0*Costeo!$B$119+0*Costeo!$C$119+$A85*Costeo!$D$119+0*Costeo!$E$119)&lt;=1000),0,IF((0*Costeo!$B$120+0*Costeo!$C$120+$A85*Costeo!$D$120+0*Costeo!$E$120)&lt;=10000000,20,IF((0*Costeo!$B$120+0*Costeo!$C$120+$A85*Costeo!$D$120+0*Costeo!$E$120)&lt;=50000000,100,300)))+MAX(0,ROUNDUP((0*Costeo!$B$36+0*Costeo!$C$36+$A85*Costeo!$D$36+0*Costeo!$E$36)/5000,0)-1)*Costeo!$B$62+IF((0*Costeo!$B$36+0*Costeo!$C$36+$A85*Costeo!$D$36+0*Costeo!$E$36)&gt;5000,32-Costeo!$B$61,0))*Costeo!$B$51,2))))&gt;=0),$A85,1000000000)</f>
        <v>1000000000</v>
      </c>
      <c r="E85" s="121">
        <f>IF(AND($A85*Costeo!$E$36&lt;=10000,(($A85)*$D$12-$B$4-((ROUND((MAX(0,(0*Costeo!$B$117+0*Costeo!$C$117+0*Costeo!$D$117+$A85*Costeo!$E$117)-100)*Costeo!$B$53+MAX(0,(0*Costeo!$B$118+0*Costeo!$C$118+0*Costeo!$D$118+$A85*Costeo!$E$118)-250)*Costeo!$B$52+(MAX(0,ROUNDUP(((0*Costeo!$B$116+0*Costeo!$C$116)+(0*Costeo!$D$116+$A85*Costeo!$E$116)*0.05)*2,0)-8)+(0*Costeo!$B$131+0*Costeo!$C$131+0*Costeo!$D$131+$A85*Costeo!$E$131))*Costeo!$B$54+IF((0*Costeo!$B$36+0*Costeo!$C$36)&lt;=2000,10,IF((0*Costeo!$B$36+0*Costeo!$C$36)&lt;=5000,15,IF((0*Costeo!$B$36+0*Costeo!$C$36)&lt;=10000,60,110)))-10)*Costeo!$B$51,2))+(ROUND((MAX(0,(0*Costeo!$B$130+0*Costeo!$C$130+0*Costeo!$D$130+$A85*Costeo!$E$130)+20*2*2*Costeo!$B$69+30*(1/3600*Costeo!$B$55+5/3600*Costeo!$B$56)-Costeo!$B$58)+IF(AND((0*Costeo!$B$120+0*Costeo!$C$120+0*Costeo!$D$120+$A85*Costeo!$E$120)&lt;=1000000,(0*Costeo!$B$119+0*Costeo!$C$119+0*Costeo!$D$119+$A85*Costeo!$E$119)&lt;=1000),0,IF((0*Costeo!$B$120+0*Costeo!$C$120+0*Costeo!$D$120+$A85*Costeo!$E$120)&lt;=10000000,20,IF((0*Costeo!$B$120+0*Costeo!$C$120+0*Costeo!$D$120+$A85*Costeo!$E$120)&lt;=50000000,100,300)))+MAX(0,ROUNDUP((0*Costeo!$B$36+0*Costeo!$C$36+0*Costeo!$D$36+$A85*Costeo!$E$36)/5000,0)-1)*Costeo!$B$62+IF((0*Costeo!$B$36+0*Costeo!$C$36+0*Costeo!$D$36+$A85*Costeo!$E$36)&gt;5000,32-Costeo!$B$61,0))*Costeo!$B$51,2))))&gt;=0),$A85,1000000000)</f>
        <v>1000000000</v>
      </c>
    </row>
    <row r="86" hidden="1" outlineLevel="1" ht="30" customHeight="1" s="61">
      <c r="A86" s="52" t="n">
        <v>35</v>
      </c>
      <c r="B86" s="121">
        <f>IF(AND($A86*Costeo!$B$36&lt;=10000,(($A86)*$D$9-$B$4-((ROUND((MAX(0,($A86*Costeo!$B$117+0*Costeo!$C$117+0*Costeo!$D$117+0*Costeo!$E$117)-100)*Costeo!$B$53+MAX(0,($A86*Costeo!$B$118+0*Costeo!$C$118+0*Costeo!$D$118+0*Costeo!$E$118)-250)*Costeo!$B$52+(MAX(0,ROUNDUP((($A86*Costeo!$B$116+0*Costeo!$C$116)+(0*Costeo!$D$116+0*Costeo!$E$116)*0.05)*2,0)-8)+($A86*Costeo!$B$131+0*Costeo!$C$131+0*Costeo!$D$131+0*Costeo!$E$131))*Costeo!$B$54+IF(($A86*Costeo!$B$36+0*Costeo!$C$36)&lt;=2000,10,IF(($A86*Costeo!$B$36+0*Costeo!$C$36)&lt;=5000,15,IF(($A86*Costeo!$B$36+0*Costeo!$C$36)&lt;=10000,60,110)))-10)*Costeo!$B$51,2))+(ROUND((MAX(0,($A86*Costeo!$B$130+0*Costeo!$C$130+0*Costeo!$D$130+0*Costeo!$E$130)+20*2*2*Costeo!$B$69+30*(1/3600*Costeo!$B$55+5/3600*Costeo!$B$56)-Costeo!$B$58)+IF(AND(($A86*Costeo!$B$120+0*Costeo!$C$120+0*Costeo!$D$120+0*Costeo!$E$120)&lt;=1000000,($A86*Costeo!$B$119+0*Costeo!$C$119+0*Costeo!$D$119+0*Costeo!$E$119)&lt;=1000),0,IF(($A86*Costeo!$B$120+0*Costeo!$C$120+0*Costeo!$D$120+0*Costeo!$E$120)&lt;=10000000,20,IF(($A86*Costeo!$B$120+0*Costeo!$C$120+0*Costeo!$D$120+0*Costeo!$E$120)&lt;=50000000,100,300)))+MAX(0,ROUNDUP(($A86*Costeo!$B$36+0*Costeo!$C$36+0*Costeo!$D$36+0*Costeo!$E$36)/5000,0)-1)*Costeo!$B$62+IF(($A86*Costeo!$B$36+0*Costeo!$C$36+0*Costeo!$D$36+0*Costeo!$E$36)&gt;5000,32-Costeo!$B$61,0))*Costeo!$B$51,2))))&gt;=0),$A86,1000000000)</f>
        <v>35</v>
      </c>
      <c r="C86" s="121">
        <f>IF(AND($A86*Costeo!$C$36&lt;=10000,(($A86)*$D$10-$B$4-((ROUND((MAX(0,(0*Costeo!$B$117+$A86*Costeo!$C$117+0*Costeo!$D$117+0*Costeo!$E$117)-100)*Costeo!$B$53+MAX(0,(0*Costeo!$B$118+$A86*Costeo!$C$118+0*Costeo!$D$118+0*Costeo!$E$118)-250)*Costeo!$B$52+(MAX(0,ROUNDUP(((0*Costeo!$B$116+$A86*Costeo!$C$116)+(0*Costeo!$D$116+0*Costeo!$E$116)*0.05)*2,0)-8)+(0*Costeo!$B$131+$A86*Costeo!$C$131+0*Costeo!$D$131+0*Costeo!$E$131))*Costeo!$B$54+IF((0*Costeo!$B$36+$A86*Costeo!$C$36)&lt;=2000,10,IF((0*Costeo!$B$36+$A86*Costeo!$C$36)&lt;=5000,15,IF((0*Costeo!$B$36+$A86*Costeo!$C$36)&lt;=10000,60,110)))-10)*Costeo!$B$51,2))+(ROUND((MAX(0,(0*Costeo!$B$130+$A86*Costeo!$C$130+0*Costeo!$D$130+0*Costeo!$E$130)+20*2*2*Costeo!$B$69+30*(1/3600*Costeo!$B$55+5/3600*Costeo!$B$56)-Costeo!$B$58)+IF(AND((0*Costeo!$B$120+$A86*Costeo!$C$120+0*Costeo!$D$120+0*Costeo!$E$120)&lt;=1000000,(0*Costeo!$B$119+$A86*Costeo!$C$119+0*Costeo!$D$119+0*Costeo!$E$119)&lt;=1000),0,IF((0*Costeo!$B$120+$A86*Costeo!$C$120+0*Costeo!$D$120+0*Costeo!$E$120)&lt;=10000000,20,IF((0*Costeo!$B$120+$A86*Costeo!$C$120+0*Costeo!$D$120+0*Costeo!$E$120)&lt;=50000000,100,300)))+MAX(0,ROUNDUP((0*Costeo!$B$36+$A86*Costeo!$C$36+0*Costeo!$D$36+0*Costeo!$E$36)/5000,0)-1)*Costeo!$B$62+IF((0*Costeo!$B$36+$A86*Costeo!$C$36+0*Costeo!$D$36+0*Costeo!$E$36)&gt;5000,32-Costeo!$B$61,0))*Costeo!$B$51,2))))&gt;=0),$A86,1000000000)</f>
        <v>35</v>
      </c>
      <c r="D86" s="121">
        <f>IF(AND($A86*Costeo!$D$36&lt;=10000,(($A86)*$D$11-$B$4-((ROUND((MAX(0,(0*Costeo!$B$117+0*Costeo!$C$117+$A86*Costeo!$D$117+0*Costeo!$E$117)-100)*Costeo!$B$53+MAX(0,(0*Costeo!$B$118+0*Costeo!$C$118+$A86*Costeo!$D$118+0*Costeo!$E$118)-250)*Costeo!$B$52+(MAX(0,ROUNDUP(((0*Costeo!$B$116+0*Costeo!$C$116)+($A86*Costeo!$D$116+0*Costeo!$E$116)*0.05)*2,0)-8)+(0*Costeo!$B$131+0*Costeo!$C$131+$A86*Costeo!$D$131+0*Costeo!$E$131))*Costeo!$B$54+IF((0*Costeo!$B$36+0*Costeo!$C$36)&lt;=2000,10,IF((0*Costeo!$B$36+0*Costeo!$C$36)&lt;=5000,15,IF((0*Costeo!$B$36+0*Costeo!$C$36)&lt;=10000,60,110)))-10)*Costeo!$B$51,2))+(ROUND((MAX(0,(0*Costeo!$B$130+0*Costeo!$C$130+$A86*Costeo!$D$130+0*Costeo!$E$130)+20*2*2*Costeo!$B$69+30*(1/3600*Costeo!$B$55+5/3600*Costeo!$B$56)-Costeo!$B$58)+IF(AND((0*Costeo!$B$120+0*Costeo!$C$120+$A86*Costeo!$D$120+0*Costeo!$E$120)&lt;=1000000,(0*Costeo!$B$119+0*Costeo!$C$119+$A86*Costeo!$D$119+0*Costeo!$E$119)&lt;=1000),0,IF((0*Costeo!$B$120+0*Costeo!$C$120+$A86*Costeo!$D$120+0*Costeo!$E$120)&lt;=10000000,20,IF((0*Costeo!$B$120+0*Costeo!$C$120+$A86*Costeo!$D$120+0*Costeo!$E$120)&lt;=50000000,100,300)))+MAX(0,ROUNDUP((0*Costeo!$B$36+0*Costeo!$C$36+$A86*Costeo!$D$36+0*Costeo!$E$36)/5000,0)-1)*Costeo!$B$62+IF((0*Costeo!$B$36+0*Costeo!$C$36+$A86*Costeo!$D$36+0*Costeo!$E$36)&gt;5000,32-Costeo!$B$61,0))*Costeo!$B$51,2))))&gt;=0),$A86,1000000000)</f>
        <v>1000000000</v>
      </c>
      <c r="E86" s="121">
        <f>IF(AND($A86*Costeo!$E$36&lt;=10000,(($A86)*$D$12-$B$4-((ROUND((MAX(0,(0*Costeo!$B$117+0*Costeo!$C$117+0*Costeo!$D$117+$A86*Costeo!$E$117)-100)*Costeo!$B$53+MAX(0,(0*Costeo!$B$118+0*Costeo!$C$118+0*Costeo!$D$118+$A86*Costeo!$E$118)-250)*Costeo!$B$52+(MAX(0,ROUNDUP(((0*Costeo!$B$116+0*Costeo!$C$116)+(0*Costeo!$D$116+$A86*Costeo!$E$116)*0.05)*2,0)-8)+(0*Costeo!$B$131+0*Costeo!$C$131+0*Costeo!$D$131+$A86*Costeo!$E$131))*Costeo!$B$54+IF((0*Costeo!$B$36+0*Costeo!$C$36)&lt;=2000,10,IF((0*Costeo!$B$36+0*Costeo!$C$36)&lt;=5000,15,IF((0*Costeo!$B$36+0*Costeo!$C$36)&lt;=10000,60,110)))-10)*Costeo!$B$51,2))+(ROUND((MAX(0,(0*Costeo!$B$130+0*Costeo!$C$130+0*Costeo!$D$130+$A86*Costeo!$E$130)+20*2*2*Costeo!$B$69+30*(1/3600*Costeo!$B$55+5/3600*Costeo!$B$56)-Costeo!$B$58)+IF(AND((0*Costeo!$B$120+0*Costeo!$C$120+0*Costeo!$D$120+$A86*Costeo!$E$120)&lt;=1000000,(0*Costeo!$B$119+0*Costeo!$C$119+0*Costeo!$D$119+$A86*Costeo!$E$119)&lt;=1000),0,IF((0*Costeo!$B$120+0*Costeo!$C$120+0*Costeo!$D$120+$A86*Costeo!$E$120)&lt;=10000000,20,IF((0*Costeo!$B$120+0*Costeo!$C$120+0*Costeo!$D$120+$A86*Costeo!$E$120)&lt;=50000000,100,300)))+MAX(0,ROUNDUP((0*Costeo!$B$36+0*Costeo!$C$36+0*Costeo!$D$36+$A86*Costeo!$E$36)/5000,0)-1)*Costeo!$B$62+IF((0*Costeo!$B$36+0*Costeo!$C$36+0*Costeo!$D$36+$A86*Costeo!$E$36)&gt;5000,32-Costeo!$B$61,0))*Costeo!$B$51,2))))&gt;=0),$A86,1000000000)</f>
        <v>1000000000</v>
      </c>
    </row>
    <row r="87" hidden="1" outlineLevel="1" ht="30" customHeight="1" s="61">
      <c r="A87" s="52" t="n">
        <v>36</v>
      </c>
      <c r="B87" s="121">
        <f>IF(AND($A87*Costeo!$B$36&lt;=10000,(($A87)*$D$9-$B$4-((ROUND((MAX(0,($A87*Costeo!$B$117+0*Costeo!$C$117+0*Costeo!$D$117+0*Costeo!$E$117)-100)*Costeo!$B$53+MAX(0,($A87*Costeo!$B$118+0*Costeo!$C$118+0*Costeo!$D$118+0*Costeo!$E$118)-250)*Costeo!$B$52+(MAX(0,ROUNDUP((($A87*Costeo!$B$116+0*Costeo!$C$116)+(0*Costeo!$D$116+0*Costeo!$E$116)*0.05)*2,0)-8)+($A87*Costeo!$B$131+0*Costeo!$C$131+0*Costeo!$D$131+0*Costeo!$E$131))*Costeo!$B$54+IF(($A87*Costeo!$B$36+0*Costeo!$C$36)&lt;=2000,10,IF(($A87*Costeo!$B$36+0*Costeo!$C$36)&lt;=5000,15,IF(($A87*Costeo!$B$36+0*Costeo!$C$36)&lt;=10000,60,110)))-10)*Costeo!$B$51,2))+(ROUND((MAX(0,($A87*Costeo!$B$130+0*Costeo!$C$130+0*Costeo!$D$130+0*Costeo!$E$130)+20*2*2*Costeo!$B$69+30*(1/3600*Costeo!$B$55+5/3600*Costeo!$B$56)-Costeo!$B$58)+IF(AND(($A87*Costeo!$B$120+0*Costeo!$C$120+0*Costeo!$D$120+0*Costeo!$E$120)&lt;=1000000,($A87*Costeo!$B$119+0*Costeo!$C$119+0*Costeo!$D$119+0*Costeo!$E$119)&lt;=1000),0,IF(($A87*Costeo!$B$120+0*Costeo!$C$120+0*Costeo!$D$120+0*Costeo!$E$120)&lt;=10000000,20,IF(($A87*Costeo!$B$120+0*Costeo!$C$120+0*Costeo!$D$120+0*Costeo!$E$120)&lt;=50000000,100,300)))+MAX(0,ROUNDUP(($A87*Costeo!$B$36+0*Costeo!$C$36+0*Costeo!$D$36+0*Costeo!$E$36)/5000,0)-1)*Costeo!$B$62+IF(($A87*Costeo!$B$36+0*Costeo!$C$36+0*Costeo!$D$36+0*Costeo!$E$36)&gt;5000,32-Costeo!$B$61,0))*Costeo!$B$51,2))))&gt;=0),$A87,1000000000)</f>
        <v>36</v>
      </c>
      <c r="C87" s="121">
        <f>IF(AND($A87*Costeo!$C$36&lt;=10000,(($A87)*$D$10-$B$4-((ROUND((MAX(0,(0*Costeo!$B$117+$A87*Costeo!$C$117+0*Costeo!$D$117+0*Costeo!$E$117)-100)*Costeo!$B$53+MAX(0,(0*Costeo!$B$118+$A87*Costeo!$C$118+0*Costeo!$D$118+0*Costeo!$E$118)-250)*Costeo!$B$52+(MAX(0,ROUNDUP(((0*Costeo!$B$116+$A87*Costeo!$C$116)+(0*Costeo!$D$116+0*Costeo!$E$116)*0.05)*2,0)-8)+(0*Costeo!$B$131+$A87*Costeo!$C$131+0*Costeo!$D$131+0*Costeo!$E$131))*Costeo!$B$54+IF((0*Costeo!$B$36+$A87*Costeo!$C$36)&lt;=2000,10,IF((0*Costeo!$B$36+$A87*Costeo!$C$36)&lt;=5000,15,IF((0*Costeo!$B$36+$A87*Costeo!$C$36)&lt;=10000,60,110)))-10)*Costeo!$B$51,2))+(ROUND((MAX(0,(0*Costeo!$B$130+$A87*Costeo!$C$130+0*Costeo!$D$130+0*Costeo!$E$130)+20*2*2*Costeo!$B$69+30*(1/3600*Costeo!$B$55+5/3600*Costeo!$B$56)-Costeo!$B$58)+IF(AND((0*Costeo!$B$120+$A87*Costeo!$C$120+0*Costeo!$D$120+0*Costeo!$E$120)&lt;=1000000,(0*Costeo!$B$119+$A87*Costeo!$C$119+0*Costeo!$D$119+0*Costeo!$E$119)&lt;=1000),0,IF((0*Costeo!$B$120+$A87*Costeo!$C$120+0*Costeo!$D$120+0*Costeo!$E$120)&lt;=10000000,20,IF((0*Costeo!$B$120+$A87*Costeo!$C$120+0*Costeo!$D$120+0*Costeo!$E$120)&lt;=50000000,100,300)))+MAX(0,ROUNDUP((0*Costeo!$B$36+$A87*Costeo!$C$36+0*Costeo!$D$36+0*Costeo!$E$36)/5000,0)-1)*Costeo!$B$62+IF((0*Costeo!$B$36+$A87*Costeo!$C$36+0*Costeo!$D$36+0*Costeo!$E$36)&gt;5000,32-Costeo!$B$61,0))*Costeo!$B$51,2))))&gt;=0),$A87,1000000000)</f>
        <v>36</v>
      </c>
      <c r="D87" s="121">
        <f>IF(AND($A87*Costeo!$D$36&lt;=10000,(($A87)*$D$11-$B$4-((ROUND((MAX(0,(0*Costeo!$B$117+0*Costeo!$C$117+$A87*Costeo!$D$117+0*Costeo!$E$117)-100)*Costeo!$B$53+MAX(0,(0*Costeo!$B$118+0*Costeo!$C$118+$A87*Costeo!$D$118+0*Costeo!$E$118)-250)*Costeo!$B$52+(MAX(0,ROUNDUP(((0*Costeo!$B$116+0*Costeo!$C$116)+($A87*Costeo!$D$116+0*Costeo!$E$116)*0.05)*2,0)-8)+(0*Costeo!$B$131+0*Costeo!$C$131+$A87*Costeo!$D$131+0*Costeo!$E$131))*Costeo!$B$54+IF((0*Costeo!$B$36+0*Costeo!$C$36)&lt;=2000,10,IF((0*Costeo!$B$36+0*Costeo!$C$36)&lt;=5000,15,IF((0*Costeo!$B$36+0*Costeo!$C$36)&lt;=10000,60,110)))-10)*Costeo!$B$51,2))+(ROUND((MAX(0,(0*Costeo!$B$130+0*Costeo!$C$130+$A87*Costeo!$D$130+0*Costeo!$E$130)+20*2*2*Costeo!$B$69+30*(1/3600*Costeo!$B$55+5/3600*Costeo!$B$56)-Costeo!$B$58)+IF(AND((0*Costeo!$B$120+0*Costeo!$C$120+$A87*Costeo!$D$120+0*Costeo!$E$120)&lt;=1000000,(0*Costeo!$B$119+0*Costeo!$C$119+$A87*Costeo!$D$119+0*Costeo!$E$119)&lt;=1000),0,IF((0*Costeo!$B$120+0*Costeo!$C$120+$A87*Costeo!$D$120+0*Costeo!$E$120)&lt;=10000000,20,IF((0*Costeo!$B$120+0*Costeo!$C$120+$A87*Costeo!$D$120+0*Costeo!$E$120)&lt;=50000000,100,300)))+MAX(0,ROUNDUP((0*Costeo!$B$36+0*Costeo!$C$36+$A87*Costeo!$D$36+0*Costeo!$E$36)/5000,0)-1)*Costeo!$B$62+IF((0*Costeo!$B$36+0*Costeo!$C$36+$A87*Costeo!$D$36+0*Costeo!$E$36)&gt;5000,32-Costeo!$B$61,0))*Costeo!$B$51,2))))&gt;=0),$A87,1000000000)</f>
        <v>1000000000</v>
      </c>
      <c r="E87" s="121">
        <f>IF(AND($A87*Costeo!$E$36&lt;=10000,(($A87)*$D$12-$B$4-((ROUND((MAX(0,(0*Costeo!$B$117+0*Costeo!$C$117+0*Costeo!$D$117+$A87*Costeo!$E$117)-100)*Costeo!$B$53+MAX(0,(0*Costeo!$B$118+0*Costeo!$C$118+0*Costeo!$D$118+$A87*Costeo!$E$118)-250)*Costeo!$B$52+(MAX(0,ROUNDUP(((0*Costeo!$B$116+0*Costeo!$C$116)+(0*Costeo!$D$116+$A87*Costeo!$E$116)*0.05)*2,0)-8)+(0*Costeo!$B$131+0*Costeo!$C$131+0*Costeo!$D$131+$A87*Costeo!$E$131))*Costeo!$B$54+IF((0*Costeo!$B$36+0*Costeo!$C$36)&lt;=2000,10,IF((0*Costeo!$B$36+0*Costeo!$C$36)&lt;=5000,15,IF((0*Costeo!$B$36+0*Costeo!$C$36)&lt;=10000,60,110)))-10)*Costeo!$B$51,2))+(ROUND((MAX(0,(0*Costeo!$B$130+0*Costeo!$C$130+0*Costeo!$D$130+$A87*Costeo!$E$130)+20*2*2*Costeo!$B$69+30*(1/3600*Costeo!$B$55+5/3600*Costeo!$B$56)-Costeo!$B$58)+IF(AND((0*Costeo!$B$120+0*Costeo!$C$120+0*Costeo!$D$120+$A87*Costeo!$E$120)&lt;=1000000,(0*Costeo!$B$119+0*Costeo!$C$119+0*Costeo!$D$119+$A87*Costeo!$E$119)&lt;=1000),0,IF((0*Costeo!$B$120+0*Costeo!$C$120+0*Costeo!$D$120+$A87*Costeo!$E$120)&lt;=10000000,20,IF((0*Costeo!$B$120+0*Costeo!$C$120+0*Costeo!$D$120+$A87*Costeo!$E$120)&lt;=50000000,100,300)))+MAX(0,ROUNDUP((0*Costeo!$B$36+0*Costeo!$C$36+0*Costeo!$D$36+$A87*Costeo!$E$36)/5000,0)-1)*Costeo!$B$62+IF((0*Costeo!$B$36+0*Costeo!$C$36+0*Costeo!$D$36+$A87*Costeo!$E$36)&gt;5000,32-Costeo!$B$61,0))*Costeo!$B$51,2))))&gt;=0),$A87,1000000000)</f>
        <v>1000000000</v>
      </c>
    </row>
    <row r="88" hidden="1" outlineLevel="1" ht="30" customHeight="1" s="61">
      <c r="A88" s="52" t="n">
        <v>37</v>
      </c>
      <c r="B88" s="121">
        <f>IF(AND($A88*Costeo!$B$36&lt;=10000,(($A88)*$D$9-$B$4-((ROUND((MAX(0,($A88*Costeo!$B$117+0*Costeo!$C$117+0*Costeo!$D$117+0*Costeo!$E$117)-100)*Costeo!$B$53+MAX(0,($A88*Costeo!$B$118+0*Costeo!$C$118+0*Costeo!$D$118+0*Costeo!$E$118)-250)*Costeo!$B$52+(MAX(0,ROUNDUP((($A88*Costeo!$B$116+0*Costeo!$C$116)+(0*Costeo!$D$116+0*Costeo!$E$116)*0.05)*2,0)-8)+($A88*Costeo!$B$131+0*Costeo!$C$131+0*Costeo!$D$131+0*Costeo!$E$131))*Costeo!$B$54+IF(($A88*Costeo!$B$36+0*Costeo!$C$36)&lt;=2000,10,IF(($A88*Costeo!$B$36+0*Costeo!$C$36)&lt;=5000,15,IF(($A88*Costeo!$B$36+0*Costeo!$C$36)&lt;=10000,60,110)))-10)*Costeo!$B$51,2))+(ROUND((MAX(0,($A88*Costeo!$B$130+0*Costeo!$C$130+0*Costeo!$D$130+0*Costeo!$E$130)+20*2*2*Costeo!$B$69+30*(1/3600*Costeo!$B$55+5/3600*Costeo!$B$56)-Costeo!$B$58)+IF(AND(($A88*Costeo!$B$120+0*Costeo!$C$120+0*Costeo!$D$120+0*Costeo!$E$120)&lt;=1000000,($A88*Costeo!$B$119+0*Costeo!$C$119+0*Costeo!$D$119+0*Costeo!$E$119)&lt;=1000),0,IF(($A88*Costeo!$B$120+0*Costeo!$C$120+0*Costeo!$D$120+0*Costeo!$E$120)&lt;=10000000,20,IF(($A88*Costeo!$B$120+0*Costeo!$C$120+0*Costeo!$D$120+0*Costeo!$E$120)&lt;=50000000,100,300)))+MAX(0,ROUNDUP(($A88*Costeo!$B$36+0*Costeo!$C$36+0*Costeo!$D$36+0*Costeo!$E$36)/5000,0)-1)*Costeo!$B$62+IF(($A88*Costeo!$B$36+0*Costeo!$C$36+0*Costeo!$D$36+0*Costeo!$E$36)&gt;5000,32-Costeo!$B$61,0))*Costeo!$B$51,2))))&gt;=0),$A88,1000000000)</f>
        <v>37</v>
      </c>
      <c r="C88" s="121">
        <f>IF(AND($A88*Costeo!$C$36&lt;=10000,(($A88)*$D$10-$B$4-((ROUND((MAX(0,(0*Costeo!$B$117+$A88*Costeo!$C$117+0*Costeo!$D$117+0*Costeo!$E$117)-100)*Costeo!$B$53+MAX(0,(0*Costeo!$B$118+$A88*Costeo!$C$118+0*Costeo!$D$118+0*Costeo!$E$118)-250)*Costeo!$B$52+(MAX(0,ROUNDUP(((0*Costeo!$B$116+$A88*Costeo!$C$116)+(0*Costeo!$D$116+0*Costeo!$E$116)*0.05)*2,0)-8)+(0*Costeo!$B$131+$A88*Costeo!$C$131+0*Costeo!$D$131+0*Costeo!$E$131))*Costeo!$B$54+IF((0*Costeo!$B$36+$A88*Costeo!$C$36)&lt;=2000,10,IF((0*Costeo!$B$36+$A88*Costeo!$C$36)&lt;=5000,15,IF((0*Costeo!$B$36+$A88*Costeo!$C$36)&lt;=10000,60,110)))-10)*Costeo!$B$51,2))+(ROUND((MAX(0,(0*Costeo!$B$130+$A88*Costeo!$C$130+0*Costeo!$D$130+0*Costeo!$E$130)+20*2*2*Costeo!$B$69+30*(1/3600*Costeo!$B$55+5/3600*Costeo!$B$56)-Costeo!$B$58)+IF(AND((0*Costeo!$B$120+$A88*Costeo!$C$120+0*Costeo!$D$120+0*Costeo!$E$120)&lt;=1000000,(0*Costeo!$B$119+$A88*Costeo!$C$119+0*Costeo!$D$119+0*Costeo!$E$119)&lt;=1000),0,IF((0*Costeo!$B$120+$A88*Costeo!$C$120+0*Costeo!$D$120+0*Costeo!$E$120)&lt;=10000000,20,IF((0*Costeo!$B$120+$A88*Costeo!$C$120+0*Costeo!$D$120+0*Costeo!$E$120)&lt;=50000000,100,300)))+MAX(0,ROUNDUP((0*Costeo!$B$36+$A88*Costeo!$C$36+0*Costeo!$D$36+0*Costeo!$E$36)/5000,0)-1)*Costeo!$B$62+IF((0*Costeo!$B$36+$A88*Costeo!$C$36+0*Costeo!$D$36+0*Costeo!$E$36)&gt;5000,32-Costeo!$B$61,0))*Costeo!$B$51,2))))&gt;=0),$A88,1000000000)</f>
        <v>37</v>
      </c>
      <c r="D88" s="121">
        <f>IF(AND($A88*Costeo!$D$36&lt;=10000,(($A88)*$D$11-$B$4-((ROUND((MAX(0,(0*Costeo!$B$117+0*Costeo!$C$117+$A88*Costeo!$D$117+0*Costeo!$E$117)-100)*Costeo!$B$53+MAX(0,(0*Costeo!$B$118+0*Costeo!$C$118+$A88*Costeo!$D$118+0*Costeo!$E$118)-250)*Costeo!$B$52+(MAX(0,ROUNDUP(((0*Costeo!$B$116+0*Costeo!$C$116)+($A88*Costeo!$D$116+0*Costeo!$E$116)*0.05)*2,0)-8)+(0*Costeo!$B$131+0*Costeo!$C$131+$A88*Costeo!$D$131+0*Costeo!$E$131))*Costeo!$B$54+IF((0*Costeo!$B$36+0*Costeo!$C$36)&lt;=2000,10,IF((0*Costeo!$B$36+0*Costeo!$C$36)&lt;=5000,15,IF((0*Costeo!$B$36+0*Costeo!$C$36)&lt;=10000,60,110)))-10)*Costeo!$B$51,2))+(ROUND((MAX(0,(0*Costeo!$B$130+0*Costeo!$C$130+$A88*Costeo!$D$130+0*Costeo!$E$130)+20*2*2*Costeo!$B$69+30*(1/3600*Costeo!$B$55+5/3600*Costeo!$B$56)-Costeo!$B$58)+IF(AND((0*Costeo!$B$120+0*Costeo!$C$120+$A88*Costeo!$D$120+0*Costeo!$E$120)&lt;=1000000,(0*Costeo!$B$119+0*Costeo!$C$119+$A88*Costeo!$D$119+0*Costeo!$E$119)&lt;=1000),0,IF((0*Costeo!$B$120+0*Costeo!$C$120+$A88*Costeo!$D$120+0*Costeo!$E$120)&lt;=10000000,20,IF((0*Costeo!$B$120+0*Costeo!$C$120+$A88*Costeo!$D$120+0*Costeo!$E$120)&lt;=50000000,100,300)))+MAX(0,ROUNDUP((0*Costeo!$B$36+0*Costeo!$C$36+$A88*Costeo!$D$36+0*Costeo!$E$36)/5000,0)-1)*Costeo!$B$62+IF((0*Costeo!$B$36+0*Costeo!$C$36+$A88*Costeo!$D$36+0*Costeo!$E$36)&gt;5000,32-Costeo!$B$61,0))*Costeo!$B$51,2))))&gt;=0),$A88,1000000000)</f>
        <v>1000000000</v>
      </c>
      <c r="E88" s="121">
        <f>IF(AND($A88*Costeo!$E$36&lt;=10000,(($A88)*$D$12-$B$4-((ROUND((MAX(0,(0*Costeo!$B$117+0*Costeo!$C$117+0*Costeo!$D$117+$A88*Costeo!$E$117)-100)*Costeo!$B$53+MAX(0,(0*Costeo!$B$118+0*Costeo!$C$118+0*Costeo!$D$118+$A88*Costeo!$E$118)-250)*Costeo!$B$52+(MAX(0,ROUNDUP(((0*Costeo!$B$116+0*Costeo!$C$116)+(0*Costeo!$D$116+$A88*Costeo!$E$116)*0.05)*2,0)-8)+(0*Costeo!$B$131+0*Costeo!$C$131+0*Costeo!$D$131+$A88*Costeo!$E$131))*Costeo!$B$54+IF((0*Costeo!$B$36+0*Costeo!$C$36)&lt;=2000,10,IF((0*Costeo!$B$36+0*Costeo!$C$36)&lt;=5000,15,IF((0*Costeo!$B$36+0*Costeo!$C$36)&lt;=10000,60,110)))-10)*Costeo!$B$51,2))+(ROUND((MAX(0,(0*Costeo!$B$130+0*Costeo!$C$130+0*Costeo!$D$130+$A88*Costeo!$E$130)+20*2*2*Costeo!$B$69+30*(1/3600*Costeo!$B$55+5/3600*Costeo!$B$56)-Costeo!$B$58)+IF(AND((0*Costeo!$B$120+0*Costeo!$C$120+0*Costeo!$D$120+$A88*Costeo!$E$120)&lt;=1000000,(0*Costeo!$B$119+0*Costeo!$C$119+0*Costeo!$D$119+$A88*Costeo!$E$119)&lt;=1000),0,IF((0*Costeo!$B$120+0*Costeo!$C$120+0*Costeo!$D$120+$A88*Costeo!$E$120)&lt;=10000000,20,IF((0*Costeo!$B$120+0*Costeo!$C$120+0*Costeo!$D$120+$A88*Costeo!$E$120)&lt;=50000000,100,300)))+MAX(0,ROUNDUP((0*Costeo!$B$36+0*Costeo!$C$36+0*Costeo!$D$36+$A88*Costeo!$E$36)/5000,0)-1)*Costeo!$B$62+IF((0*Costeo!$B$36+0*Costeo!$C$36+0*Costeo!$D$36+$A88*Costeo!$E$36)&gt;5000,32-Costeo!$B$61,0))*Costeo!$B$51,2))))&gt;=0),$A88,1000000000)</f>
        <v>1000000000</v>
      </c>
    </row>
    <row r="89" hidden="1" outlineLevel="1" ht="30" customHeight="1" s="61">
      <c r="A89" s="52" t="n">
        <v>38</v>
      </c>
      <c r="B89" s="121">
        <f>IF(AND($A89*Costeo!$B$36&lt;=10000,(($A89)*$D$9-$B$4-((ROUND((MAX(0,($A89*Costeo!$B$117+0*Costeo!$C$117+0*Costeo!$D$117+0*Costeo!$E$117)-100)*Costeo!$B$53+MAX(0,($A89*Costeo!$B$118+0*Costeo!$C$118+0*Costeo!$D$118+0*Costeo!$E$118)-250)*Costeo!$B$52+(MAX(0,ROUNDUP((($A89*Costeo!$B$116+0*Costeo!$C$116)+(0*Costeo!$D$116+0*Costeo!$E$116)*0.05)*2,0)-8)+($A89*Costeo!$B$131+0*Costeo!$C$131+0*Costeo!$D$131+0*Costeo!$E$131))*Costeo!$B$54+IF(($A89*Costeo!$B$36+0*Costeo!$C$36)&lt;=2000,10,IF(($A89*Costeo!$B$36+0*Costeo!$C$36)&lt;=5000,15,IF(($A89*Costeo!$B$36+0*Costeo!$C$36)&lt;=10000,60,110)))-10)*Costeo!$B$51,2))+(ROUND((MAX(0,($A89*Costeo!$B$130+0*Costeo!$C$130+0*Costeo!$D$130+0*Costeo!$E$130)+20*2*2*Costeo!$B$69+30*(1/3600*Costeo!$B$55+5/3600*Costeo!$B$56)-Costeo!$B$58)+IF(AND(($A89*Costeo!$B$120+0*Costeo!$C$120+0*Costeo!$D$120+0*Costeo!$E$120)&lt;=1000000,($A89*Costeo!$B$119+0*Costeo!$C$119+0*Costeo!$D$119+0*Costeo!$E$119)&lt;=1000),0,IF(($A89*Costeo!$B$120+0*Costeo!$C$120+0*Costeo!$D$120+0*Costeo!$E$120)&lt;=10000000,20,IF(($A89*Costeo!$B$120+0*Costeo!$C$120+0*Costeo!$D$120+0*Costeo!$E$120)&lt;=50000000,100,300)))+MAX(0,ROUNDUP(($A89*Costeo!$B$36+0*Costeo!$C$36+0*Costeo!$D$36+0*Costeo!$E$36)/5000,0)-1)*Costeo!$B$62+IF(($A89*Costeo!$B$36+0*Costeo!$C$36+0*Costeo!$D$36+0*Costeo!$E$36)&gt;5000,32-Costeo!$B$61,0))*Costeo!$B$51,2))))&gt;=0),$A89,1000000000)</f>
        <v>38</v>
      </c>
      <c r="C89" s="121">
        <f>IF(AND($A89*Costeo!$C$36&lt;=10000,(($A89)*$D$10-$B$4-((ROUND((MAX(0,(0*Costeo!$B$117+$A89*Costeo!$C$117+0*Costeo!$D$117+0*Costeo!$E$117)-100)*Costeo!$B$53+MAX(0,(0*Costeo!$B$118+$A89*Costeo!$C$118+0*Costeo!$D$118+0*Costeo!$E$118)-250)*Costeo!$B$52+(MAX(0,ROUNDUP(((0*Costeo!$B$116+$A89*Costeo!$C$116)+(0*Costeo!$D$116+0*Costeo!$E$116)*0.05)*2,0)-8)+(0*Costeo!$B$131+$A89*Costeo!$C$131+0*Costeo!$D$131+0*Costeo!$E$131))*Costeo!$B$54+IF((0*Costeo!$B$36+$A89*Costeo!$C$36)&lt;=2000,10,IF((0*Costeo!$B$36+$A89*Costeo!$C$36)&lt;=5000,15,IF((0*Costeo!$B$36+$A89*Costeo!$C$36)&lt;=10000,60,110)))-10)*Costeo!$B$51,2))+(ROUND((MAX(0,(0*Costeo!$B$130+$A89*Costeo!$C$130+0*Costeo!$D$130+0*Costeo!$E$130)+20*2*2*Costeo!$B$69+30*(1/3600*Costeo!$B$55+5/3600*Costeo!$B$56)-Costeo!$B$58)+IF(AND((0*Costeo!$B$120+$A89*Costeo!$C$120+0*Costeo!$D$120+0*Costeo!$E$120)&lt;=1000000,(0*Costeo!$B$119+$A89*Costeo!$C$119+0*Costeo!$D$119+0*Costeo!$E$119)&lt;=1000),0,IF((0*Costeo!$B$120+$A89*Costeo!$C$120+0*Costeo!$D$120+0*Costeo!$E$120)&lt;=10000000,20,IF((0*Costeo!$B$120+$A89*Costeo!$C$120+0*Costeo!$D$120+0*Costeo!$E$120)&lt;=50000000,100,300)))+MAX(0,ROUNDUP((0*Costeo!$B$36+$A89*Costeo!$C$36+0*Costeo!$D$36+0*Costeo!$E$36)/5000,0)-1)*Costeo!$B$62+IF((0*Costeo!$B$36+$A89*Costeo!$C$36+0*Costeo!$D$36+0*Costeo!$E$36)&gt;5000,32-Costeo!$B$61,0))*Costeo!$B$51,2))))&gt;=0),$A89,1000000000)</f>
        <v>38</v>
      </c>
      <c r="D89" s="121">
        <f>IF(AND($A89*Costeo!$D$36&lt;=10000,(($A89)*$D$11-$B$4-((ROUND((MAX(0,(0*Costeo!$B$117+0*Costeo!$C$117+$A89*Costeo!$D$117+0*Costeo!$E$117)-100)*Costeo!$B$53+MAX(0,(0*Costeo!$B$118+0*Costeo!$C$118+$A89*Costeo!$D$118+0*Costeo!$E$118)-250)*Costeo!$B$52+(MAX(0,ROUNDUP(((0*Costeo!$B$116+0*Costeo!$C$116)+($A89*Costeo!$D$116+0*Costeo!$E$116)*0.05)*2,0)-8)+(0*Costeo!$B$131+0*Costeo!$C$131+$A89*Costeo!$D$131+0*Costeo!$E$131))*Costeo!$B$54+IF((0*Costeo!$B$36+0*Costeo!$C$36)&lt;=2000,10,IF((0*Costeo!$B$36+0*Costeo!$C$36)&lt;=5000,15,IF((0*Costeo!$B$36+0*Costeo!$C$36)&lt;=10000,60,110)))-10)*Costeo!$B$51,2))+(ROUND((MAX(0,(0*Costeo!$B$130+0*Costeo!$C$130+$A89*Costeo!$D$130+0*Costeo!$E$130)+20*2*2*Costeo!$B$69+30*(1/3600*Costeo!$B$55+5/3600*Costeo!$B$56)-Costeo!$B$58)+IF(AND((0*Costeo!$B$120+0*Costeo!$C$120+$A89*Costeo!$D$120+0*Costeo!$E$120)&lt;=1000000,(0*Costeo!$B$119+0*Costeo!$C$119+$A89*Costeo!$D$119+0*Costeo!$E$119)&lt;=1000),0,IF((0*Costeo!$B$120+0*Costeo!$C$120+$A89*Costeo!$D$120+0*Costeo!$E$120)&lt;=10000000,20,IF((0*Costeo!$B$120+0*Costeo!$C$120+$A89*Costeo!$D$120+0*Costeo!$E$120)&lt;=50000000,100,300)))+MAX(0,ROUNDUP((0*Costeo!$B$36+0*Costeo!$C$36+$A89*Costeo!$D$36+0*Costeo!$E$36)/5000,0)-1)*Costeo!$B$62+IF((0*Costeo!$B$36+0*Costeo!$C$36+$A89*Costeo!$D$36+0*Costeo!$E$36)&gt;5000,32-Costeo!$B$61,0))*Costeo!$B$51,2))))&gt;=0),$A89,1000000000)</f>
        <v>1000000000</v>
      </c>
      <c r="E89" s="121">
        <f>IF(AND($A89*Costeo!$E$36&lt;=10000,(($A89)*$D$12-$B$4-((ROUND((MAX(0,(0*Costeo!$B$117+0*Costeo!$C$117+0*Costeo!$D$117+$A89*Costeo!$E$117)-100)*Costeo!$B$53+MAX(0,(0*Costeo!$B$118+0*Costeo!$C$118+0*Costeo!$D$118+$A89*Costeo!$E$118)-250)*Costeo!$B$52+(MAX(0,ROUNDUP(((0*Costeo!$B$116+0*Costeo!$C$116)+(0*Costeo!$D$116+$A89*Costeo!$E$116)*0.05)*2,0)-8)+(0*Costeo!$B$131+0*Costeo!$C$131+0*Costeo!$D$131+$A89*Costeo!$E$131))*Costeo!$B$54+IF((0*Costeo!$B$36+0*Costeo!$C$36)&lt;=2000,10,IF((0*Costeo!$B$36+0*Costeo!$C$36)&lt;=5000,15,IF((0*Costeo!$B$36+0*Costeo!$C$36)&lt;=10000,60,110)))-10)*Costeo!$B$51,2))+(ROUND((MAX(0,(0*Costeo!$B$130+0*Costeo!$C$130+0*Costeo!$D$130+$A89*Costeo!$E$130)+20*2*2*Costeo!$B$69+30*(1/3600*Costeo!$B$55+5/3600*Costeo!$B$56)-Costeo!$B$58)+IF(AND((0*Costeo!$B$120+0*Costeo!$C$120+0*Costeo!$D$120+$A89*Costeo!$E$120)&lt;=1000000,(0*Costeo!$B$119+0*Costeo!$C$119+0*Costeo!$D$119+$A89*Costeo!$E$119)&lt;=1000),0,IF((0*Costeo!$B$120+0*Costeo!$C$120+0*Costeo!$D$120+$A89*Costeo!$E$120)&lt;=10000000,20,IF((0*Costeo!$B$120+0*Costeo!$C$120+0*Costeo!$D$120+$A89*Costeo!$E$120)&lt;=50000000,100,300)))+MAX(0,ROUNDUP((0*Costeo!$B$36+0*Costeo!$C$36+0*Costeo!$D$36+$A89*Costeo!$E$36)/5000,0)-1)*Costeo!$B$62+IF((0*Costeo!$B$36+0*Costeo!$C$36+0*Costeo!$D$36+$A89*Costeo!$E$36)&gt;5000,32-Costeo!$B$61,0))*Costeo!$B$51,2))))&gt;=0),$A89,1000000000)</f>
        <v>1000000000</v>
      </c>
    </row>
    <row r="90" hidden="1" outlineLevel="1" ht="30" customHeight="1" s="61">
      <c r="A90" s="52" t="n">
        <v>39</v>
      </c>
      <c r="B90" s="121">
        <f>IF(AND($A90*Costeo!$B$36&lt;=10000,(($A90)*$D$9-$B$4-((ROUND((MAX(0,($A90*Costeo!$B$117+0*Costeo!$C$117+0*Costeo!$D$117+0*Costeo!$E$117)-100)*Costeo!$B$53+MAX(0,($A90*Costeo!$B$118+0*Costeo!$C$118+0*Costeo!$D$118+0*Costeo!$E$118)-250)*Costeo!$B$52+(MAX(0,ROUNDUP((($A90*Costeo!$B$116+0*Costeo!$C$116)+(0*Costeo!$D$116+0*Costeo!$E$116)*0.05)*2,0)-8)+($A90*Costeo!$B$131+0*Costeo!$C$131+0*Costeo!$D$131+0*Costeo!$E$131))*Costeo!$B$54+IF(($A90*Costeo!$B$36+0*Costeo!$C$36)&lt;=2000,10,IF(($A90*Costeo!$B$36+0*Costeo!$C$36)&lt;=5000,15,IF(($A90*Costeo!$B$36+0*Costeo!$C$36)&lt;=10000,60,110)))-10)*Costeo!$B$51,2))+(ROUND((MAX(0,($A90*Costeo!$B$130+0*Costeo!$C$130+0*Costeo!$D$130+0*Costeo!$E$130)+20*2*2*Costeo!$B$69+30*(1/3600*Costeo!$B$55+5/3600*Costeo!$B$56)-Costeo!$B$58)+IF(AND(($A90*Costeo!$B$120+0*Costeo!$C$120+0*Costeo!$D$120+0*Costeo!$E$120)&lt;=1000000,($A90*Costeo!$B$119+0*Costeo!$C$119+0*Costeo!$D$119+0*Costeo!$E$119)&lt;=1000),0,IF(($A90*Costeo!$B$120+0*Costeo!$C$120+0*Costeo!$D$120+0*Costeo!$E$120)&lt;=10000000,20,IF(($A90*Costeo!$B$120+0*Costeo!$C$120+0*Costeo!$D$120+0*Costeo!$E$120)&lt;=50000000,100,300)))+MAX(0,ROUNDUP(($A90*Costeo!$B$36+0*Costeo!$C$36+0*Costeo!$D$36+0*Costeo!$E$36)/5000,0)-1)*Costeo!$B$62+IF(($A90*Costeo!$B$36+0*Costeo!$C$36+0*Costeo!$D$36+0*Costeo!$E$36)&gt;5000,32-Costeo!$B$61,0))*Costeo!$B$51,2))))&gt;=0),$A90,1000000000)</f>
        <v>39</v>
      </c>
      <c r="C90" s="121">
        <f>IF(AND($A90*Costeo!$C$36&lt;=10000,(($A90)*$D$10-$B$4-((ROUND((MAX(0,(0*Costeo!$B$117+$A90*Costeo!$C$117+0*Costeo!$D$117+0*Costeo!$E$117)-100)*Costeo!$B$53+MAX(0,(0*Costeo!$B$118+$A90*Costeo!$C$118+0*Costeo!$D$118+0*Costeo!$E$118)-250)*Costeo!$B$52+(MAX(0,ROUNDUP(((0*Costeo!$B$116+$A90*Costeo!$C$116)+(0*Costeo!$D$116+0*Costeo!$E$116)*0.05)*2,0)-8)+(0*Costeo!$B$131+$A90*Costeo!$C$131+0*Costeo!$D$131+0*Costeo!$E$131))*Costeo!$B$54+IF((0*Costeo!$B$36+$A90*Costeo!$C$36)&lt;=2000,10,IF((0*Costeo!$B$36+$A90*Costeo!$C$36)&lt;=5000,15,IF((0*Costeo!$B$36+$A90*Costeo!$C$36)&lt;=10000,60,110)))-10)*Costeo!$B$51,2))+(ROUND((MAX(0,(0*Costeo!$B$130+$A90*Costeo!$C$130+0*Costeo!$D$130+0*Costeo!$E$130)+20*2*2*Costeo!$B$69+30*(1/3600*Costeo!$B$55+5/3600*Costeo!$B$56)-Costeo!$B$58)+IF(AND((0*Costeo!$B$120+$A90*Costeo!$C$120+0*Costeo!$D$120+0*Costeo!$E$120)&lt;=1000000,(0*Costeo!$B$119+$A90*Costeo!$C$119+0*Costeo!$D$119+0*Costeo!$E$119)&lt;=1000),0,IF((0*Costeo!$B$120+$A90*Costeo!$C$120+0*Costeo!$D$120+0*Costeo!$E$120)&lt;=10000000,20,IF((0*Costeo!$B$120+$A90*Costeo!$C$120+0*Costeo!$D$120+0*Costeo!$E$120)&lt;=50000000,100,300)))+MAX(0,ROUNDUP((0*Costeo!$B$36+$A90*Costeo!$C$36+0*Costeo!$D$36+0*Costeo!$E$36)/5000,0)-1)*Costeo!$B$62+IF((0*Costeo!$B$36+$A90*Costeo!$C$36+0*Costeo!$D$36+0*Costeo!$E$36)&gt;5000,32-Costeo!$B$61,0))*Costeo!$B$51,2))))&gt;=0),$A90,1000000000)</f>
        <v>39</v>
      </c>
      <c r="D90" s="121">
        <f>IF(AND($A90*Costeo!$D$36&lt;=10000,(($A90)*$D$11-$B$4-((ROUND((MAX(0,(0*Costeo!$B$117+0*Costeo!$C$117+$A90*Costeo!$D$117+0*Costeo!$E$117)-100)*Costeo!$B$53+MAX(0,(0*Costeo!$B$118+0*Costeo!$C$118+$A90*Costeo!$D$118+0*Costeo!$E$118)-250)*Costeo!$B$52+(MAX(0,ROUNDUP(((0*Costeo!$B$116+0*Costeo!$C$116)+($A90*Costeo!$D$116+0*Costeo!$E$116)*0.05)*2,0)-8)+(0*Costeo!$B$131+0*Costeo!$C$131+$A90*Costeo!$D$131+0*Costeo!$E$131))*Costeo!$B$54+IF((0*Costeo!$B$36+0*Costeo!$C$36)&lt;=2000,10,IF((0*Costeo!$B$36+0*Costeo!$C$36)&lt;=5000,15,IF((0*Costeo!$B$36+0*Costeo!$C$36)&lt;=10000,60,110)))-10)*Costeo!$B$51,2))+(ROUND((MAX(0,(0*Costeo!$B$130+0*Costeo!$C$130+$A90*Costeo!$D$130+0*Costeo!$E$130)+20*2*2*Costeo!$B$69+30*(1/3600*Costeo!$B$55+5/3600*Costeo!$B$56)-Costeo!$B$58)+IF(AND((0*Costeo!$B$120+0*Costeo!$C$120+$A90*Costeo!$D$120+0*Costeo!$E$120)&lt;=1000000,(0*Costeo!$B$119+0*Costeo!$C$119+$A90*Costeo!$D$119+0*Costeo!$E$119)&lt;=1000),0,IF((0*Costeo!$B$120+0*Costeo!$C$120+$A90*Costeo!$D$120+0*Costeo!$E$120)&lt;=10000000,20,IF((0*Costeo!$B$120+0*Costeo!$C$120+$A90*Costeo!$D$120+0*Costeo!$E$120)&lt;=50000000,100,300)))+MAX(0,ROUNDUP((0*Costeo!$B$36+0*Costeo!$C$36+$A90*Costeo!$D$36+0*Costeo!$E$36)/5000,0)-1)*Costeo!$B$62+IF((0*Costeo!$B$36+0*Costeo!$C$36+$A90*Costeo!$D$36+0*Costeo!$E$36)&gt;5000,32-Costeo!$B$61,0))*Costeo!$B$51,2))))&gt;=0),$A90,1000000000)</f>
        <v>1000000000</v>
      </c>
      <c r="E90" s="121">
        <f>IF(AND($A90*Costeo!$E$36&lt;=10000,(($A90)*$D$12-$B$4-((ROUND((MAX(0,(0*Costeo!$B$117+0*Costeo!$C$117+0*Costeo!$D$117+$A90*Costeo!$E$117)-100)*Costeo!$B$53+MAX(0,(0*Costeo!$B$118+0*Costeo!$C$118+0*Costeo!$D$118+$A90*Costeo!$E$118)-250)*Costeo!$B$52+(MAX(0,ROUNDUP(((0*Costeo!$B$116+0*Costeo!$C$116)+(0*Costeo!$D$116+$A90*Costeo!$E$116)*0.05)*2,0)-8)+(0*Costeo!$B$131+0*Costeo!$C$131+0*Costeo!$D$131+$A90*Costeo!$E$131))*Costeo!$B$54+IF((0*Costeo!$B$36+0*Costeo!$C$36)&lt;=2000,10,IF((0*Costeo!$B$36+0*Costeo!$C$36)&lt;=5000,15,IF((0*Costeo!$B$36+0*Costeo!$C$36)&lt;=10000,60,110)))-10)*Costeo!$B$51,2))+(ROUND((MAX(0,(0*Costeo!$B$130+0*Costeo!$C$130+0*Costeo!$D$130+$A90*Costeo!$E$130)+20*2*2*Costeo!$B$69+30*(1/3600*Costeo!$B$55+5/3600*Costeo!$B$56)-Costeo!$B$58)+IF(AND((0*Costeo!$B$120+0*Costeo!$C$120+0*Costeo!$D$120+$A90*Costeo!$E$120)&lt;=1000000,(0*Costeo!$B$119+0*Costeo!$C$119+0*Costeo!$D$119+$A90*Costeo!$E$119)&lt;=1000),0,IF((0*Costeo!$B$120+0*Costeo!$C$120+0*Costeo!$D$120+$A90*Costeo!$E$120)&lt;=10000000,20,IF((0*Costeo!$B$120+0*Costeo!$C$120+0*Costeo!$D$120+$A90*Costeo!$E$120)&lt;=50000000,100,300)))+MAX(0,ROUNDUP((0*Costeo!$B$36+0*Costeo!$C$36+0*Costeo!$D$36+$A90*Costeo!$E$36)/5000,0)-1)*Costeo!$B$62+IF((0*Costeo!$B$36+0*Costeo!$C$36+0*Costeo!$D$36+$A90*Costeo!$E$36)&gt;5000,32-Costeo!$B$61,0))*Costeo!$B$51,2))))&gt;=0),$A90,1000000000)</f>
        <v>1000000000</v>
      </c>
    </row>
    <row r="91" hidden="1" outlineLevel="1" ht="30" customHeight="1" s="61">
      <c r="A91" s="52" t="n">
        <v>40</v>
      </c>
      <c r="B91" s="121">
        <f>IF(AND($A91*Costeo!$B$36&lt;=10000,(($A91)*$D$9-$B$4-((ROUND((MAX(0,($A91*Costeo!$B$117+0*Costeo!$C$117+0*Costeo!$D$117+0*Costeo!$E$117)-100)*Costeo!$B$53+MAX(0,($A91*Costeo!$B$118+0*Costeo!$C$118+0*Costeo!$D$118+0*Costeo!$E$118)-250)*Costeo!$B$52+(MAX(0,ROUNDUP((($A91*Costeo!$B$116+0*Costeo!$C$116)+(0*Costeo!$D$116+0*Costeo!$E$116)*0.05)*2,0)-8)+($A91*Costeo!$B$131+0*Costeo!$C$131+0*Costeo!$D$131+0*Costeo!$E$131))*Costeo!$B$54+IF(($A91*Costeo!$B$36+0*Costeo!$C$36)&lt;=2000,10,IF(($A91*Costeo!$B$36+0*Costeo!$C$36)&lt;=5000,15,IF(($A91*Costeo!$B$36+0*Costeo!$C$36)&lt;=10000,60,110)))-10)*Costeo!$B$51,2))+(ROUND((MAX(0,($A91*Costeo!$B$130+0*Costeo!$C$130+0*Costeo!$D$130+0*Costeo!$E$130)+20*2*2*Costeo!$B$69+30*(1/3600*Costeo!$B$55+5/3600*Costeo!$B$56)-Costeo!$B$58)+IF(AND(($A91*Costeo!$B$120+0*Costeo!$C$120+0*Costeo!$D$120+0*Costeo!$E$120)&lt;=1000000,($A91*Costeo!$B$119+0*Costeo!$C$119+0*Costeo!$D$119+0*Costeo!$E$119)&lt;=1000),0,IF(($A91*Costeo!$B$120+0*Costeo!$C$120+0*Costeo!$D$120+0*Costeo!$E$120)&lt;=10000000,20,IF(($A91*Costeo!$B$120+0*Costeo!$C$120+0*Costeo!$D$120+0*Costeo!$E$120)&lt;=50000000,100,300)))+MAX(0,ROUNDUP(($A91*Costeo!$B$36+0*Costeo!$C$36+0*Costeo!$D$36+0*Costeo!$E$36)/5000,0)-1)*Costeo!$B$62+IF(($A91*Costeo!$B$36+0*Costeo!$C$36+0*Costeo!$D$36+0*Costeo!$E$36)&gt;5000,32-Costeo!$B$61,0))*Costeo!$B$51,2))))&gt;=0),$A91,1000000000)</f>
        <v>40</v>
      </c>
      <c r="C91" s="121">
        <f>IF(AND($A91*Costeo!$C$36&lt;=10000,(($A91)*$D$10-$B$4-((ROUND((MAX(0,(0*Costeo!$B$117+$A91*Costeo!$C$117+0*Costeo!$D$117+0*Costeo!$E$117)-100)*Costeo!$B$53+MAX(0,(0*Costeo!$B$118+$A91*Costeo!$C$118+0*Costeo!$D$118+0*Costeo!$E$118)-250)*Costeo!$B$52+(MAX(0,ROUNDUP(((0*Costeo!$B$116+$A91*Costeo!$C$116)+(0*Costeo!$D$116+0*Costeo!$E$116)*0.05)*2,0)-8)+(0*Costeo!$B$131+$A91*Costeo!$C$131+0*Costeo!$D$131+0*Costeo!$E$131))*Costeo!$B$54+IF((0*Costeo!$B$36+$A91*Costeo!$C$36)&lt;=2000,10,IF((0*Costeo!$B$36+$A91*Costeo!$C$36)&lt;=5000,15,IF((0*Costeo!$B$36+$A91*Costeo!$C$36)&lt;=10000,60,110)))-10)*Costeo!$B$51,2))+(ROUND((MAX(0,(0*Costeo!$B$130+$A91*Costeo!$C$130+0*Costeo!$D$130+0*Costeo!$E$130)+20*2*2*Costeo!$B$69+30*(1/3600*Costeo!$B$55+5/3600*Costeo!$B$56)-Costeo!$B$58)+IF(AND((0*Costeo!$B$120+$A91*Costeo!$C$120+0*Costeo!$D$120+0*Costeo!$E$120)&lt;=1000000,(0*Costeo!$B$119+$A91*Costeo!$C$119+0*Costeo!$D$119+0*Costeo!$E$119)&lt;=1000),0,IF((0*Costeo!$B$120+$A91*Costeo!$C$120+0*Costeo!$D$120+0*Costeo!$E$120)&lt;=10000000,20,IF((0*Costeo!$B$120+$A91*Costeo!$C$120+0*Costeo!$D$120+0*Costeo!$E$120)&lt;=50000000,100,300)))+MAX(0,ROUNDUP((0*Costeo!$B$36+$A91*Costeo!$C$36+0*Costeo!$D$36+0*Costeo!$E$36)/5000,0)-1)*Costeo!$B$62+IF((0*Costeo!$B$36+$A91*Costeo!$C$36+0*Costeo!$D$36+0*Costeo!$E$36)&gt;5000,32-Costeo!$B$61,0))*Costeo!$B$51,2))))&gt;=0),$A91,1000000000)</f>
        <v>40</v>
      </c>
      <c r="D91" s="121">
        <f>IF(AND($A91*Costeo!$D$36&lt;=10000,(($A91)*$D$11-$B$4-((ROUND((MAX(0,(0*Costeo!$B$117+0*Costeo!$C$117+$A91*Costeo!$D$117+0*Costeo!$E$117)-100)*Costeo!$B$53+MAX(0,(0*Costeo!$B$118+0*Costeo!$C$118+$A91*Costeo!$D$118+0*Costeo!$E$118)-250)*Costeo!$B$52+(MAX(0,ROUNDUP(((0*Costeo!$B$116+0*Costeo!$C$116)+($A91*Costeo!$D$116+0*Costeo!$E$116)*0.05)*2,0)-8)+(0*Costeo!$B$131+0*Costeo!$C$131+$A91*Costeo!$D$131+0*Costeo!$E$131))*Costeo!$B$54+IF((0*Costeo!$B$36+0*Costeo!$C$36)&lt;=2000,10,IF((0*Costeo!$B$36+0*Costeo!$C$36)&lt;=5000,15,IF((0*Costeo!$B$36+0*Costeo!$C$36)&lt;=10000,60,110)))-10)*Costeo!$B$51,2))+(ROUND((MAX(0,(0*Costeo!$B$130+0*Costeo!$C$130+$A91*Costeo!$D$130+0*Costeo!$E$130)+20*2*2*Costeo!$B$69+30*(1/3600*Costeo!$B$55+5/3600*Costeo!$B$56)-Costeo!$B$58)+IF(AND((0*Costeo!$B$120+0*Costeo!$C$120+$A91*Costeo!$D$120+0*Costeo!$E$120)&lt;=1000000,(0*Costeo!$B$119+0*Costeo!$C$119+$A91*Costeo!$D$119+0*Costeo!$E$119)&lt;=1000),0,IF((0*Costeo!$B$120+0*Costeo!$C$120+$A91*Costeo!$D$120+0*Costeo!$E$120)&lt;=10000000,20,IF((0*Costeo!$B$120+0*Costeo!$C$120+$A91*Costeo!$D$120+0*Costeo!$E$120)&lt;=50000000,100,300)))+MAX(0,ROUNDUP((0*Costeo!$B$36+0*Costeo!$C$36+$A91*Costeo!$D$36+0*Costeo!$E$36)/5000,0)-1)*Costeo!$B$62+IF((0*Costeo!$B$36+0*Costeo!$C$36+$A91*Costeo!$D$36+0*Costeo!$E$36)&gt;5000,32-Costeo!$B$61,0))*Costeo!$B$51,2))))&gt;=0),$A91,1000000000)</f>
        <v>1000000000</v>
      </c>
      <c r="E91" s="121">
        <f>IF(AND($A91*Costeo!$E$36&lt;=10000,(($A91)*$D$12-$B$4-((ROUND((MAX(0,(0*Costeo!$B$117+0*Costeo!$C$117+0*Costeo!$D$117+$A91*Costeo!$E$117)-100)*Costeo!$B$53+MAX(0,(0*Costeo!$B$118+0*Costeo!$C$118+0*Costeo!$D$118+$A91*Costeo!$E$118)-250)*Costeo!$B$52+(MAX(0,ROUNDUP(((0*Costeo!$B$116+0*Costeo!$C$116)+(0*Costeo!$D$116+$A91*Costeo!$E$116)*0.05)*2,0)-8)+(0*Costeo!$B$131+0*Costeo!$C$131+0*Costeo!$D$131+$A91*Costeo!$E$131))*Costeo!$B$54+IF((0*Costeo!$B$36+0*Costeo!$C$36)&lt;=2000,10,IF((0*Costeo!$B$36+0*Costeo!$C$36)&lt;=5000,15,IF((0*Costeo!$B$36+0*Costeo!$C$36)&lt;=10000,60,110)))-10)*Costeo!$B$51,2))+(ROUND((MAX(0,(0*Costeo!$B$130+0*Costeo!$C$130+0*Costeo!$D$130+$A91*Costeo!$E$130)+20*2*2*Costeo!$B$69+30*(1/3600*Costeo!$B$55+5/3600*Costeo!$B$56)-Costeo!$B$58)+IF(AND((0*Costeo!$B$120+0*Costeo!$C$120+0*Costeo!$D$120+$A91*Costeo!$E$120)&lt;=1000000,(0*Costeo!$B$119+0*Costeo!$C$119+0*Costeo!$D$119+$A91*Costeo!$E$119)&lt;=1000),0,IF((0*Costeo!$B$120+0*Costeo!$C$120+0*Costeo!$D$120+$A91*Costeo!$E$120)&lt;=10000000,20,IF((0*Costeo!$B$120+0*Costeo!$C$120+0*Costeo!$D$120+$A91*Costeo!$E$120)&lt;=50000000,100,300)))+MAX(0,ROUNDUP((0*Costeo!$B$36+0*Costeo!$C$36+0*Costeo!$D$36+$A91*Costeo!$E$36)/5000,0)-1)*Costeo!$B$62+IF((0*Costeo!$B$36+0*Costeo!$C$36+0*Costeo!$D$36+$A91*Costeo!$E$36)&gt;5000,32-Costeo!$B$61,0))*Costeo!$B$51,2))))&gt;=0),$A91,1000000000)</f>
        <v>1000000000</v>
      </c>
    </row>
    <row r="92" hidden="1" outlineLevel="1" ht="30" customHeight="1" s="61">
      <c r="A92" s="52" t="n">
        <v>41</v>
      </c>
      <c r="B92" s="121">
        <f>IF(AND($A92*Costeo!$B$36&lt;=10000,(($A92)*$D$9-$B$4-((ROUND((MAX(0,($A92*Costeo!$B$117+0*Costeo!$C$117+0*Costeo!$D$117+0*Costeo!$E$117)-100)*Costeo!$B$53+MAX(0,($A92*Costeo!$B$118+0*Costeo!$C$118+0*Costeo!$D$118+0*Costeo!$E$118)-250)*Costeo!$B$52+(MAX(0,ROUNDUP((($A92*Costeo!$B$116+0*Costeo!$C$116)+(0*Costeo!$D$116+0*Costeo!$E$116)*0.05)*2,0)-8)+($A92*Costeo!$B$131+0*Costeo!$C$131+0*Costeo!$D$131+0*Costeo!$E$131))*Costeo!$B$54+IF(($A92*Costeo!$B$36+0*Costeo!$C$36)&lt;=2000,10,IF(($A92*Costeo!$B$36+0*Costeo!$C$36)&lt;=5000,15,IF(($A92*Costeo!$B$36+0*Costeo!$C$36)&lt;=10000,60,110)))-10)*Costeo!$B$51,2))+(ROUND((MAX(0,($A92*Costeo!$B$130+0*Costeo!$C$130+0*Costeo!$D$130+0*Costeo!$E$130)+20*2*2*Costeo!$B$69+30*(1/3600*Costeo!$B$55+5/3600*Costeo!$B$56)-Costeo!$B$58)+IF(AND(($A92*Costeo!$B$120+0*Costeo!$C$120+0*Costeo!$D$120+0*Costeo!$E$120)&lt;=1000000,($A92*Costeo!$B$119+0*Costeo!$C$119+0*Costeo!$D$119+0*Costeo!$E$119)&lt;=1000),0,IF(($A92*Costeo!$B$120+0*Costeo!$C$120+0*Costeo!$D$120+0*Costeo!$E$120)&lt;=10000000,20,IF(($A92*Costeo!$B$120+0*Costeo!$C$120+0*Costeo!$D$120+0*Costeo!$E$120)&lt;=50000000,100,300)))+MAX(0,ROUNDUP(($A92*Costeo!$B$36+0*Costeo!$C$36+0*Costeo!$D$36+0*Costeo!$E$36)/5000,0)-1)*Costeo!$B$62+IF(($A92*Costeo!$B$36+0*Costeo!$C$36+0*Costeo!$D$36+0*Costeo!$E$36)&gt;5000,32-Costeo!$B$61,0))*Costeo!$B$51,2))))&gt;=0),$A92,1000000000)</f>
        <v>41</v>
      </c>
      <c r="C92" s="121">
        <f>IF(AND($A92*Costeo!$C$36&lt;=10000,(($A92)*$D$10-$B$4-((ROUND((MAX(0,(0*Costeo!$B$117+$A92*Costeo!$C$117+0*Costeo!$D$117+0*Costeo!$E$117)-100)*Costeo!$B$53+MAX(0,(0*Costeo!$B$118+$A92*Costeo!$C$118+0*Costeo!$D$118+0*Costeo!$E$118)-250)*Costeo!$B$52+(MAX(0,ROUNDUP(((0*Costeo!$B$116+$A92*Costeo!$C$116)+(0*Costeo!$D$116+0*Costeo!$E$116)*0.05)*2,0)-8)+(0*Costeo!$B$131+$A92*Costeo!$C$131+0*Costeo!$D$131+0*Costeo!$E$131))*Costeo!$B$54+IF((0*Costeo!$B$36+$A92*Costeo!$C$36)&lt;=2000,10,IF((0*Costeo!$B$36+$A92*Costeo!$C$36)&lt;=5000,15,IF((0*Costeo!$B$36+$A92*Costeo!$C$36)&lt;=10000,60,110)))-10)*Costeo!$B$51,2))+(ROUND((MAX(0,(0*Costeo!$B$130+$A92*Costeo!$C$130+0*Costeo!$D$130+0*Costeo!$E$130)+20*2*2*Costeo!$B$69+30*(1/3600*Costeo!$B$55+5/3600*Costeo!$B$56)-Costeo!$B$58)+IF(AND((0*Costeo!$B$120+$A92*Costeo!$C$120+0*Costeo!$D$120+0*Costeo!$E$120)&lt;=1000000,(0*Costeo!$B$119+$A92*Costeo!$C$119+0*Costeo!$D$119+0*Costeo!$E$119)&lt;=1000),0,IF((0*Costeo!$B$120+$A92*Costeo!$C$120+0*Costeo!$D$120+0*Costeo!$E$120)&lt;=10000000,20,IF((0*Costeo!$B$120+$A92*Costeo!$C$120+0*Costeo!$D$120+0*Costeo!$E$120)&lt;=50000000,100,300)))+MAX(0,ROUNDUP((0*Costeo!$B$36+$A92*Costeo!$C$36+0*Costeo!$D$36+0*Costeo!$E$36)/5000,0)-1)*Costeo!$B$62+IF((0*Costeo!$B$36+$A92*Costeo!$C$36+0*Costeo!$D$36+0*Costeo!$E$36)&gt;5000,32-Costeo!$B$61,0))*Costeo!$B$51,2))))&gt;=0),$A92,1000000000)</f>
        <v>41</v>
      </c>
      <c r="D92" s="121">
        <f>IF(AND($A92*Costeo!$D$36&lt;=10000,(($A92)*$D$11-$B$4-((ROUND((MAX(0,(0*Costeo!$B$117+0*Costeo!$C$117+$A92*Costeo!$D$117+0*Costeo!$E$117)-100)*Costeo!$B$53+MAX(0,(0*Costeo!$B$118+0*Costeo!$C$118+$A92*Costeo!$D$118+0*Costeo!$E$118)-250)*Costeo!$B$52+(MAX(0,ROUNDUP(((0*Costeo!$B$116+0*Costeo!$C$116)+($A92*Costeo!$D$116+0*Costeo!$E$116)*0.05)*2,0)-8)+(0*Costeo!$B$131+0*Costeo!$C$131+$A92*Costeo!$D$131+0*Costeo!$E$131))*Costeo!$B$54+IF((0*Costeo!$B$36+0*Costeo!$C$36)&lt;=2000,10,IF((0*Costeo!$B$36+0*Costeo!$C$36)&lt;=5000,15,IF((0*Costeo!$B$36+0*Costeo!$C$36)&lt;=10000,60,110)))-10)*Costeo!$B$51,2))+(ROUND((MAX(0,(0*Costeo!$B$130+0*Costeo!$C$130+$A92*Costeo!$D$130+0*Costeo!$E$130)+20*2*2*Costeo!$B$69+30*(1/3600*Costeo!$B$55+5/3600*Costeo!$B$56)-Costeo!$B$58)+IF(AND((0*Costeo!$B$120+0*Costeo!$C$120+$A92*Costeo!$D$120+0*Costeo!$E$120)&lt;=1000000,(0*Costeo!$B$119+0*Costeo!$C$119+$A92*Costeo!$D$119+0*Costeo!$E$119)&lt;=1000),0,IF((0*Costeo!$B$120+0*Costeo!$C$120+$A92*Costeo!$D$120+0*Costeo!$E$120)&lt;=10000000,20,IF((0*Costeo!$B$120+0*Costeo!$C$120+$A92*Costeo!$D$120+0*Costeo!$E$120)&lt;=50000000,100,300)))+MAX(0,ROUNDUP((0*Costeo!$B$36+0*Costeo!$C$36+$A92*Costeo!$D$36+0*Costeo!$E$36)/5000,0)-1)*Costeo!$B$62+IF((0*Costeo!$B$36+0*Costeo!$C$36+$A92*Costeo!$D$36+0*Costeo!$E$36)&gt;5000,32-Costeo!$B$61,0))*Costeo!$B$51,2))))&gt;=0),$A92,1000000000)</f>
        <v>1000000000</v>
      </c>
      <c r="E92" s="121">
        <f>IF(AND($A92*Costeo!$E$36&lt;=10000,(($A92)*$D$12-$B$4-((ROUND((MAX(0,(0*Costeo!$B$117+0*Costeo!$C$117+0*Costeo!$D$117+$A92*Costeo!$E$117)-100)*Costeo!$B$53+MAX(0,(0*Costeo!$B$118+0*Costeo!$C$118+0*Costeo!$D$118+$A92*Costeo!$E$118)-250)*Costeo!$B$52+(MAX(0,ROUNDUP(((0*Costeo!$B$116+0*Costeo!$C$116)+(0*Costeo!$D$116+$A92*Costeo!$E$116)*0.05)*2,0)-8)+(0*Costeo!$B$131+0*Costeo!$C$131+0*Costeo!$D$131+$A92*Costeo!$E$131))*Costeo!$B$54+IF((0*Costeo!$B$36+0*Costeo!$C$36)&lt;=2000,10,IF((0*Costeo!$B$36+0*Costeo!$C$36)&lt;=5000,15,IF((0*Costeo!$B$36+0*Costeo!$C$36)&lt;=10000,60,110)))-10)*Costeo!$B$51,2))+(ROUND((MAX(0,(0*Costeo!$B$130+0*Costeo!$C$130+0*Costeo!$D$130+$A92*Costeo!$E$130)+20*2*2*Costeo!$B$69+30*(1/3600*Costeo!$B$55+5/3600*Costeo!$B$56)-Costeo!$B$58)+IF(AND((0*Costeo!$B$120+0*Costeo!$C$120+0*Costeo!$D$120+$A92*Costeo!$E$120)&lt;=1000000,(0*Costeo!$B$119+0*Costeo!$C$119+0*Costeo!$D$119+$A92*Costeo!$E$119)&lt;=1000),0,IF((0*Costeo!$B$120+0*Costeo!$C$120+0*Costeo!$D$120+$A92*Costeo!$E$120)&lt;=10000000,20,IF((0*Costeo!$B$120+0*Costeo!$C$120+0*Costeo!$D$120+$A92*Costeo!$E$120)&lt;=50000000,100,300)))+MAX(0,ROUNDUP((0*Costeo!$B$36+0*Costeo!$C$36+0*Costeo!$D$36+$A92*Costeo!$E$36)/5000,0)-1)*Costeo!$B$62+IF((0*Costeo!$B$36+0*Costeo!$C$36+0*Costeo!$D$36+$A92*Costeo!$E$36)&gt;5000,32-Costeo!$B$61,0))*Costeo!$B$51,2))))&gt;=0),$A92,1000000000)</f>
        <v>1000000000</v>
      </c>
    </row>
    <row r="93" hidden="1" outlineLevel="1" ht="30" customHeight="1" s="61">
      <c r="A93" s="52" t="n">
        <v>42</v>
      </c>
      <c r="B93" s="121">
        <f>IF(AND($A93*Costeo!$B$36&lt;=10000,(($A93)*$D$9-$B$4-((ROUND((MAX(0,($A93*Costeo!$B$117+0*Costeo!$C$117+0*Costeo!$D$117+0*Costeo!$E$117)-100)*Costeo!$B$53+MAX(0,($A93*Costeo!$B$118+0*Costeo!$C$118+0*Costeo!$D$118+0*Costeo!$E$118)-250)*Costeo!$B$52+(MAX(0,ROUNDUP((($A93*Costeo!$B$116+0*Costeo!$C$116)+(0*Costeo!$D$116+0*Costeo!$E$116)*0.05)*2,0)-8)+($A93*Costeo!$B$131+0*Costeo!$C$131+0*Costeo!$D$131+0*Costeo!$E$131))*Costeo!$B$54+IF(($A93*Costeo!$B$36+0*Costeo!$C$36)&lt;=2000,10,IF(($A93*Costeo!$B$36+0*Costeo!$C$36)&lt;=5000,15,IF(($A93*Costeo!$B$36+0*Costeo!$C$36)&lt;=10000,60,110)))-10)*Costeo!$B$51,2))+(ROUND((MAX(0,($A93*Costeo!$B$130+0*Costeo!$C$130+0*Costeo!$D$130+0*Costeo!$E$130)+20*2*2*Costeo!$B$69+30*(1/3600*Costeo!$B$55+5/3600*Costeo!$B$56)-Costeo!$B$58)+IF(AND(($A93*Costeo!$B$120+0*Costeo!$C$120+0*Costeo!$D$120+0*Costeo!$E$120)&lt;=1000000,($A93*Costeo!$B$119+0*Costeo!$C$119+0*Costeo!$D$119+0*Costeo!$E$119)&lt;=1000),0,IF(($A93*Costeo!$B$120+0*Costeo!$C$120+0*Costeo!$D$120+0*Costeo!$E$120)&lt;=10000000,20,IF(($A93*Costeo!$B$120+0*Costeo!$C$120+0*Costeo!$D$120+0*Costeo!$E$120)&lt;=50000000,100,300)))+MAX(0,ROUNDUP(($A93*Costeo!$B$36+0*Costeo!$C$36+0*Costeo!$D$36+0*Costeo!$E$36)/5000,0)-1)*Costeo!$B$62+IF(($A93*Costeo!$B$36+0*Costeo!$C$36+0*Costeo!$D$36+0*Costeo!$E$36)&gt;5000,32-Costeo!$B$61,0))*Costeo!$B$51,2))))&gt;=0),$A93,1000000000)</f>
        <v>42</v>
      </c>
      <c r="C93" s="121">
        <f>IF(AND($A93*Costeo!$C$36&lt;=10000,(($A93)*$D$10-$B$4-((ROUND((MAX(0,(0*Costeo!$B$117+$A93*Costeo!$C$117+0*Costeo!$D$117+0*Costeo!$E$117)-100)*Costeo!$B$53+MAX(0,(0*Costeo!$B$118+$A93*Costeo!$C$118+0*Costeo!$D$118+0*Costeo!$E$118)-250)*Costeo!$B$52+(MAX(0,ROUNDUP(((0*Costeo!$B$116+$A93*Costeo!$C$116)+(0*Costeo!$D$116+0*Costeo!$E$116)*0.05)*2,0)-8)+(0*Costeo!$B$131+$A93*Costeo!$C$131+0*Costeo!$D$131+0*Costeo!$E$131))*Costeo!$B$54+IF((0*Costeo!$B$36+$A93*Costeo!$C$36)&lt;=2000,10,IF((0*Costeo!$B$36+$A93*Costeo!$C$36)&lt;=5000,15,IF((0*Costeo!$B$36+$A93*Costeo!$C$36)&lt;=10000,60,110)))-10)*Costeo!$B$51,2))+(ROUND((MAX(0,(0*Costeo!$B$130+$A93*Costeo!$C$130+0*Costeo!$D$130+0*Costeo!$E$130)+20*2*2*Costeo!$B$69+30*(1/3600*Costeo!$B$55+5/3600*Costeo!$B$56)-Costeo!$B$58)+IF(AND((0*Costeo!$B$120+$A93*Costeo!$C$120+0*Costeo!$D$120+0*Costeo!$E$120)&lt;=1000000,(0*Costeo!$B$119+$A93*Costeo!$C$119+0*Costeo!$D$119+0*Costeo!$E$119)&lt;=1000),0,IF((0*Costeo!$B$120+$A93*Costeo!$C$120+0*Costeo!$D$120+0*Costeo!$E$120)&lt;=10000000,20,IF((0*Costeo!$B$120+$A93*Costeo!$C$120+0*Costeo!$D$120+0*Costeo!$E$120)&lt;=50000000,100,300)))+MAX(0,ROUNDUP((0*Costeo!$B$36+$A93*Costeo!$C$36+0*Costeo!$D$36+0*Costeo!$E$36)/5000,0)-1)*Costeo!$B$62+IF((0*Costeo!$B$36+$A93*Costeo!$C$36+0*Costeo!$D$36+0*Costeo!$E$36)&gt;5000,32-Costeo!$B$61,0))*Costeo!$B$51,2))))&gt;=0),$A93,1000000000)</f>
        <v>42</v>
      </c>
      <c r="D93" s="121">
        <f>IF(AND($A93*Costeo!$D$36&lt;=10000,(($A93)*$D$11-$B$4-((ROUND((MAX(0,(0*Costeo!$B$117+0*Costeo!$C$117+$A93*Costeo!$D$117+0*Costeo!$E$117)-100)*Costeo!$B$53+MAX(0,(0*Costeo!$B$118+0*Costeo!$C$118+$A93*Costeo!$D$118+0*Costeo!$E$118)-250)*Costeo!$B$52+(MAX(0,ROUNDUP(((0*Costeo!$B$116+0*Costeo!$C$116)+($A93*Costeo!$D$116+0*Costeo!$E$116)*0.05)*2,0)-8)+(0*Costeo!$B$131+0*Costeo!$C$131+$A93*Costeo!$D$131+0*Costeo!$E$131))*Costeo!$B$54+IF((0*Costeo!$B$36+0*Costeo!$C$36)&lt;=2000,10,IF((0*Costeo!$B$36+0*Costeo!$C$36)&lt;=5000,15,IF((0*Costeo!$B$36+0*Costeo!$C$36)&lt;=10000,60,110)))-10)*Costeo!$B$51,2))+(ROUND((MAX(0,(0*Costeo!$B$130+0*Costeo!$C$130+$A93*Costeo!$D$130+0*Costeo!$E$130)+20*2*2*Costeo!$B$69+30*(1/3600*Costeo!$B$55+5/3600*Costeo!$B$56)-Costeo!$B$58)+IF(AND((0*Costeo!$B$120+0*Costeo!$C$120+$A93*Costeo!$D$120+0*Costeo!$E$120)&lt;=1000000,(0*Costeo!$B$119+0*Costeo!$C$119+$A93*Costeo!$D$119+0*Costeo!$E$119)&lt;=1000),0,IF((0*Costeo!$B$120+0*Costeo!$C$120+$A93*Costeo!$D$120+0*Costeo!$E$120)&lt;=10000000,20,IF((0*Costeo!$B$120+0*Costeo!$C$120+$A93*Costeo!$D$120+0*Costeo!$E$120)&lt;=50000000,100,300)))+MAX(0,ROUNDUP((0*Costeo!$B$36+0*Costeo!$C$36+$A93*Costeo!$D$36+0*Costeo!$E$36)/5000,0)-1)*Costeo!$B$62+IF((0*Costeo!$B$36+0*Costeo!$C$36+$A93*Costeo!$D$36+0*Costeo!$E$36)&gt;5000,32-Costeo!$B$61,0))*Costeo!$B$51,2))))&gt;=0),$A93,1000000000)</f>
        <v>1000000000</v>
      </c>
      <c r="E93" s="121">
        <f>IF(AND($A93*Costeo!$E$36&lt;=10000,(($A93)*$D$12-$B$4-((ROUND((MAX(0,(0*Costeo!$B$117+0*Costeo!$C$117+0*Costeo!$D$117+$A93*Costeo!$E$117)-100)*Costeo!$B$53+MAX(0,(0*Costeo!$B$118+0*Costeo!$C$118+0*Costeo!$D$118+$A93*Costeo!$E$118)-250)*Costeo!$B$52+(MAX(0,ROUNDUP(((0*Costeo!$B$116+0*Costeo!$C$116)+(0*Costeo!$D$116+$A93*Costeo!$E$116)*0.05)*2,0)-8)+(0*Costeo!$B$131+0*Costeo!$C$131+0*Costeo!$D$131+$A93*Costeo!$E$131))*Costeo!$B$54+IF((0*Costeo!$B$36+0*Costeo!$C$36)&lt;=2000,10,IF((0*Costeo!$B$36+0*Costeo!$C$36)&lt;=5000,15,IF((0*Costeo!$B$36+0*Costeo!$C$36)&lt;=10000,60,110)))-10)*Costeo!$B$51,2))+(ROUND((MAX(0,(0*Costeo!$B$130+0*Costeo!$C$130+0*Costeo!$D$130+$A93*Costeo!$E$130)+20*2*2*Costeo!$B$69+30*(1/3600*Costeo!$B$55+5/3600*Costeo!$B$56)-Costeo!$B$58)+IF(AND((0*Costeo!$B$120+0*Costeo!$C$120+0*Costeo!$D$120+$A93*Costeo!$E$120)&lt;=1000000,(0*Costeo!$B$119+0*Costeo!$C$119+0*Costeo!$D$119+$A93*Costeo!$E$119)&lt;=1000),0,IF((0*Costeo!$B$120+0*Costeo!$C$120+0*Costeo!$D$120+$A93*Costeo!$E$120)&lt;=10000000,20,IF((0*Costeo!$B$120+0*Costeo!$C$120+0*Costeo!$D$120+$A93*Costeo!$E$120)&lt;=50000000,100,300)))+MAX(0,ROUNDUP((0*Costeo!$B$36+0*Costeo!$C$36+0*Costeo!$D$36+$A93*Costeo!$E$36)/5000,0)-1)*Costeo!$B$62+IF((0*Costeo!$B$36+0*Costeo!$C$36+0*Costeo!$D$36+$A93*Costeo!$E$36)&gt;5000,32-Costeo!$B$61,0))*Costeo!$B$51,2))))&gt;=0),$A93,1000000000)</f>
        <v>1000000000</v>
      </c>
    </row>
    <row r="94" hidden="1" outlineLevel="1" ht="30" customHeight="1" s="61">
      <c r="A94" s="52" t="n">
        <v>43</v>
      </c>
      <c r="B94" s="121">
        <f>IF(AND($A94*Costeo!$B$36&lt;=10000,(($A94)*$D$9-$B$4-((ROUND((MAX(0,($A94*Costeo!$B$117+0*Costeo!$C$117+0*Costeo!$D$117+0*Costeo!$E$117)-100)*Costeo!$B$53+MAX(0,($A94*Costeo!$B$118+0*Costeo!$C$118+0*Costeo!$D$118+0*Costeo!$E$118)-250)*Costeo!$B$52+(MAX(0,ROUNDUP((($A94*Costeo!$B$116+0*Costeo!$C$116)+(0*Costeo!$D$116+0*Costeo!$E$116)*0.05)*2,0)-8)+($A94*Costeo!$B$131+0*Costeo!$C$131+0*Costeo!$D$131+0*Costeo!$E$131))*Costeo!$B$54+IF(($A94*Costeo!$B$36+0*Costeo!$C$36)&lt;=2000,10,IF(($A94*Costeo!$B$36+0*Costeo!$C$36)&lt;=5000,15,IF(($A94*Costeo!$B$36+0*Costeo!$C$36)&lt;=10000,60,110)))-10)*Costeo!$B$51,2))+(ROUND((MAX(0,($A94*Costeo!$B$130+0*Costeo!$C$130+0*Costeo!$D$130+0*Costeo!$E$130)+20*2*2*Costeo!$B$69+30*(1/3600*Costeo!$B$55+5/3600*Costeo!$B$56)-Costeo!$B$58)+IF(AND(($A94*Costeo!$B$120+0*Costeo!$C$120+0*Costeo!$D$120+0*Costeo!$E$120)&lt;=1000000,($A94*Costeo!$B$119+0*Costeo!$C$119+0*Costeo!$D$119+0*Costeo!$E$119)&lt;=1000),0,IF(($A94*Costeo!$B$120+0*Costeo!$C$120+0*Costeo!$D$120+0*Costeo!$E$120)&lt;=10000000,20,IF(($A94*Costeo!$B$120+0*Costeo!$C$120+0*Costeo!$D$120+0*Costeo!$E$120)&lt;=50000000,100,300)))+MAX(0,ROUNDUP(($A94*Costeo!$B$36+0*Costeo!$C$36+0*Costeo!$D$36+0*Costeo!$E$36)/5000,0)-1)*Costeo!$B$62+IF(($A94*Costeo!$B$36+0*Costeo!$C$36+0*Costeo!$D$36+0*Costeo!$E$36)&gt;5000,32-Costeo!$B$61,0))*Costeo!$B$51,2))))&gt;=0),$A94,1000000000)</f>
        <v>43</v>
      </c>
      <c r="C94" s="121">
        <f>IF(AND($A94*Costeo!$C$36&lt;=10000,(($A94)*$D$10-$B$4-((ROUND((MAX(0,(0*Costeo!$B$117+$A94*Costeo!$C$117+0*Costeo!$D$117+0*Costeo!$E$117)-100)*Costeo!$B$53+MAX(0,(0*Costeo!$B$118+$A94*Costeo!$C$118+0*Costeo!$D$118+0*Costeo!$E$118)-250)*Costeo!$B$52+(MAX(0,ROUNDUP(((0*Costeo!$B$116+$A94*Costeo!$C$116)+(0*Costeo!$D$116+0*Costeo!$E$116)*0.05)*2,0)-8)+(0*Costeo!$B$131+$A94*Costeo!$C$131+0*Costeo!$D$131+0*Costeo!$E$131))*Costeo!$B$54+IF((0*Costeo!$B$36+$A94*Costeo!$C$36)&lt;=2000,10,IF((0*Costeo!$B$36+$A94*Costeo!$C$36)&lt;=5000,15,IF((0*Costeo!$B$36+$A94*Costeo!$C$36)&lt;=10000,60,110)))-10)*Costeo!$B$51,2))+(ROUND((MAX(0,(0*Costeo!$B$130+$A94*Costeo!$C$130+0*Costeo!$D$130+0*Costeo!$E$130)+20*2*2*Costeo!$B$69+30*(1/3600*Costeo!$B$55+5/3600*Costeo!$B$56)-Costeo!$B$58)+IF(AND((0*Costeo!$B$120+$A94*Costeo!$C$120+0*Costeo!$D$120+0*Costeo!$E$120)&lt;=1000000,(0*Costeo!$B$119+$A94*Costeo!$C$119+0*Costeo!$D$119+0*Costeo!$E$119)&lt;=1000),0,IF((0*Costeo!$B$120+$A94*Costeo!$C$120+0*Costeo!$D$120+0*Costeo!$E$120)&lt;=10000000,20,IF((0*Costeo!$B$120+$A94*Costeo!$C$120+0*Costeo!$D$120+0*Costeo!$E$120)&lt;=50000000,100,300)))+MAX(0,ROUNDUP((0*Costeo!$B$36+$A94*Costeo!$C$36+0*Costeo!$D$36+0*Costeo!$E$36)/5000,0)-1)*Costeo!$B$62+IF((0*Costeo!$B$36+$A94*Costeo!$C$36+0*Costeo!$D$36+0*Costeo!$E$36)&gt;5000,32-Costeo!$B$61,0))*Costeo!$B$51,2))))&gt;=0),$A94,1000000000)</f>
        <v>43</v>
      </c>
      <c r="D94" s="121">
        <f>IF(AND($A94*Costeo!$D$36&lt;=10000,(($A94)*$D$11-$B$4-((ROUND((MAX(0,(0*Costeo!$B$117+0*Costeo!$C$117+$A94*Costeo!$D$117+0*Costeo!$E$117)-100)*Costeo!$B$53+MAX(0,(0*Costeo!$B$118+0*Costeo!$C$118+$A94*Costeo!$D$118+0*Costeo!$E$118)-250)*Costeo!$B$52+(MAX(0,ROUNDUP(((0*Costeo!$B$116+0*Costeo!$C$116)+($A94*Costeo!$D$116+0*Costeo!$E$116)*0.05)*2,0)-8)+(0*Costeo!$B$131+0*Costeo!$C$131+$A94*Costeo!$D$131+0*Costeo!$E$131))*Costeo!$B$54+IF((0*Costeo!$B$36+0*Costeo!$C$36)&lt;=2000,10,IF((0*Costeo!$B$36+0*Costeo!$C$36)&lt;=5000,15,IF((0*Costeo!$B$36+0*Costeo!$C$36)&lt;=10000,60,110)))-10)*Costeo!$B$51,2))+(ROUND((MAX(0,(0*Costeo!$B$130+0*Costeo!$C$130+$A94*Costeo!$D$130+0*Costeo!$E$130)+20*2*2*Costeo!$B$69+30*(1/3600*Costeo!$B$55+5/3600*Costeo!$B$56)-Costeo!$B$58)+IF(AND((0*Costeo!$B$120+0*Costeo!$C$120+$A94*Costeo!$D$120+0*Costeo!$E$120)&lt;=1000000,(0*Costeo!$B$119+0*Costeo!$C$119+$A94*Costeo!$D$119+0*Costeo!$E$119)&lt;=1000),0,IF((0*Costeo!$B$120+0*Costeo!$C$120+$A94*Costeo!$D$120+0*Costeo!$E$120)&lt;=10000000,20,IF((0*Costeo!$B$120+0*Costeo!$C$120+$A94*Costeo!$D$120+0*Costeo!$E$120)&lt;=50000000,100,300)))+MAX(0,ROUNDUP((0*Costeo!$B$36+0*Costeo!$C$36+$A94*Costeo!$D$36+0*Costeo!$E$36)/5000,0)-1)*Costeo!$B$62+IF((0*Costeo!$B$36+0*Costeo!$C$36+$A94*Costeo!$D$36+0*Costeo!$E$36)&gt;5000,32-Costeo!$B$61,0))*Costeo!$B$51,2))))&gt;=0),$A94,1000000000)</f>
        <v>1000000000</v>
      </c>
      <c r="E94" s="121">
        <f>IF(AND($A94*Costeo!$E$36&lt;=10000,(($A94)*$D$12-$B$4-((ROUND((MAX(0,(0*Costeo!$B$117+0*Costeo!$C$117+0*Costeo!$D$117+$A94*Costeo!$E$117)-100)*Costeo!$B$53+MAX(0,(0*Costeo!$B$118+0*Costeo!$C$118+0*Costeo!$D$118+$A94*Costeo!$E$118)-250)*Costeo!$B$52+(MAX(0,ROUNDUP(((0*Costeo!$B$116+0*Costeo!$C$116)+(0*Costeo!$D$116+$A94*Costeo!$E$116)*0.05)*2,0)-8)+(0*Costeo!$B$131+0*Costeo!$C$131+0*Costeo!$D$131+$A94*Costeo!$E$131))*Costeo!$B$54+IF((0*Costeo!$B$36+0*Costeo!$C$36)&lt;=2000,10,IF((0*Costeo!$B$36+0*Costeo!$C$36)&lt;=5000,15,IF((0*Costeo!$B$36+0*Costeo!$C$36)&lt;=10000,60,110)))-10)*Costeo!$B$51,2))+(ROUND((MAX(0,(0*Costeo!$B$130+0*Costeo!$C$130+0*Costeo!$D$130+$A94*Costeo!$E$130)+20*2*2*Costeo!$B$69+30*(1/3600*Costeo!$B$55+5/3600*Costeo!$B$56)-Costeo!$B$58)+IF(AND((0*Costeo!$B$120+0*Costeo!$C$120+0*Costeo!$D$120+$A94*Costeo!$E$120)&lt;=1000000,(0*Costeo!$B$119+0*Costeo!$C$119+0*Costeo!$D$119+$A94*Costeo!$E$119)&lt;=1000),0,IF((0*Costeo!$B$120+0*Costeo!$C$120+0*Costeo!$D$120+$A94*Costeo!$E$120)&lt;=10000000,20,IF((0*Costeo!$B$120+0*Costeo!$C$120+0*Costeo!$D$120+$A94*Costeo!$E$120)&lt;=50000000,100,300)))+MAX(0,ROUNDUP((0*Costeo!$B$36+0*Costeo!$C$36+0*Costeo!$D$36+$A94*Costeo!$E$36)/5000,0)-1)*Costeo!$B$62+IF((0*Costeo!$B$36+0*Costeo!$C$36+0*Costeo!$D$36+$A94*Costeo!$E$36)&gt;5000,32-Costeo!$B$61,0))*Costeo!$B$51,2))))&gt;=0),$A94,1000000000)</f>
        <v>1000000000</v>
      </c>
    </row>
    <row r="95" hidden="1" outlineLevel="1" ht="30" customHeight="1" s="61">
      <c r="A95" s="52" t="n">
        <v>44</v>
      </c>
      <c r="B95" s="121">
        <f>IF(AND($A95*Costeo!$B$36&lt;=10000,(($A95)*$D$9-$B$4-((ROUND((MAX(0,($A95*Costeo!$B$117+0*Costeo!$C$117+0*Costeo!$D$117+0*Costeo!$E$117)-100)*Costeo!$B$53+MAX(0,($A95*Costeo!$B$118+0*Costeo!$C$118+0*Costeo!$D$118+0*Costeo!$E$118)-250)*Costeo!$B$52+(MAX(0,ROUNDUP((($A95*Costeo!$B$116+0*Costeo!$C$116)+(0*Costeo!$D$116+0*Costeo!$E$116)*0.05)*2,0)-8)+($A95*Costeo!$B$131+0*Costeo!$C$131+0*Costeo!$D$131+0*Costeo!$E$131))*Costeo!$B$54+IF(($A95*Costeo!$B$36+0*Costeo!$C$36)&lt;=2000,10,IF(($A95*Costeo!$B$36+0*Costeo!$C$36)&lt;=5000,15,IF(($A95*Costeo!$B$36+0*Costeo!$C$36)&lt;=10000,60,110)))-10)*Costeo!$B$51,2))+(ROUND((MAX(0,($A95*Costeo!$B$130+0*Costeo!$C$130+0*Costeo!$D$130+0*Costeo!$E$130)+20*2*2*Costeo!$B$69+30*(1/3600*Costeo!$B$55+5/3600*Costeo!$B$56)-Costeo!$B$58)+IF(AND(($A95*Costeo!$B$120+0*Costeo!$C$120+0*Costeo!$D$120+0*Costeo!$E$120)&lt;=1000000,($A95*Costeo!$B$119+0*Costeo!$C$119+0*Costeo!$D$119+0*Costeo!$E$119)&lt;=1000),0,IF(($A95*Costeo!$B$120+0*Costeo!$C$120+0*Costeo!$D$120+0*Costeo!$E$120)&lt;=10000000,20,IF(($A95*Costeo!$B$120+0*Costeo!$C$120+0*Costeo!$D$120+0*Costeo!$E$120)&lt;=50000000,100,300)))+MAX(0,ROUNDUP(($A95*Costeo!$B$36+0*Costeo!$C$36+0*Costeo!$D$36+0*Costeo!$E$36)/5000,0)-1)*Costeo!$B$62+IF(($A95*Costeo!$B$36+0*Costeo!$C$36+0*Costeo!$D$36+0*Costeo!$E$36)&gt;5000,32-Costeo!$B$61,0))*Costeo!$B$51,2))))&gt;=0),$A95,1000000000)</f>
        <v>44</v>
      </c>
      <c r="C95" s="121">
        <f>IF(AND($A95*Costeo!$C$36&lt;=10000,(($A95)*$D$10-$B$4-((ROUND((MAX(0,(0*Costeo!$B$117+$A95*Costeo!$C$117+0*Costeo!$D$117+0*Costeo!$E$117)-100)*Costeo!$B$53+MAX(0,(0*Costeo!$B$118+$A95*Costeo!$C$118+0*Costeo!$D$118+0*Costeo!$E$118)-250)*Costeo!$B$52+(MAX(0,ROUNDUP(((0*Costeo!$B$116+$A95*Costeo!$C$116)+(0*Costeo!$D$116+0*Costeo!$E$116)*0.05)*2,0)-8)+(0*Costeo!$B$131+$A95*Costeo!$C$131+0*Costeo!$D$131+0*Costeo!$E$131))*Costeo!$B$54+IF((0*Costeo!$B$36+$A95*Costeo!$C$36)&lt;=2000,10,IF((0*Costeo!$B$36+$A95*Costeo!$C$36)&lt;=5000,15,IF((0*Costeo!$B$36+$A95*Costeo!$C$36)&lt;=10000,60,110)))-10)*Costeo!$B$51,2))+(ROUND((MAX(0,(0*Costeo!$B$130+$A95*Costeo!$C$130+0*Costeo!$D$130+0*Costeo!$E$130)+20*2*2*Costeo!$B$69+30*(1/3600*Costeo!$B$55+5/3600*Costeo!$B$56)-Costeo!$B$58)+IF(AND((0*Costeo!$B$120+$A95*Costeo!$C$120+0*Costeo!$D$120+0*Costeo!$E$120)&lt;=1000000,(0*Costeo!$B$119+$A95*Costeo!$C$119+0*Costeo!$D$119+0*Costeo!$E$119)&lt;=1000),0,IF((0*Costeo!$B$120+$A95*Costeo!$C$120+0*Costeo!$D$120+0*Costeo!$E$120)&lt;=10000000,20,IF((0*Costeo!$B$120+$A95*Costeo!$C$120+0*Costeo!$D$120+0*Costeo!$E$120)&lt;=50000000,100,300)))+MAX(0,ROUNDUP((0*Costeo!$B$36+$A95*Costeo!$C$36+0*Costeo!$D$36+0*Costeo!$E$36)/5000,0)-1)*Costeo!$B$62+IF((0*Costeo!$B$36+$A95*Costeo!$C$36+0*Costeo!$D$36+0*Costeo!$E$36)&gt;5000,32-Costeo!$B$61,0))*Costeo!$B$51,2))))&gt;=0),$A95,1000000000)</f>
        <v>44</v>
      </c>
      <c r="D95" s="121">
        <f>IF(AND($A95*Costeo!$D$36&lt;=10000,(($A95)*$D$11-$B$4-((ROUND((MAX(0,(0*Costeo!$B$117+0*Costeo!$C$117+$A95*Costeo!$D$117+0*Costeo!$E$117)-100)*Costeo!$B$53+MAX(0,(0*Costeo!$B$118+0*Costeo!$C$118+$A95*Costeo!$D$118+0*Costeo!$E$118)-250)*Costeo!$B$52+(MAX(0,ROUNDUP(((0*Costeo!$B$116+0*Costeo!$C$116)+($A95*Costeo!$D$116+0*Costeo!$E$116)*0.05)*2,0)-8)+(0*Costeo!$B$131+0*Costeo!$C$131+$A95*Costeo!$D$131+0*Costeo!$E$131))*Costeo!$B$54+IF((0*Costeo!$B$36+0*Costeo!$C$36)&lt;=2000,10,IF((0*Costeo!$B$36+0*Costeo!$C$36)&lt;=5000,15,IF((0*Costeo!$B$36+0*Costeo!$C$36)&lt;=10000,60,110)))-10)*Costeo!$B$51,2))+(ROUND((MAX(0,(0*Costeo!$B$130+0*Costeo!$C$130+$A95*Costeo!$D$130+0*Costeo!$E$130)+20*2*2*Costeo!$B$69+30*(1/3600*Costeo!$B$55+5/3600*Costeo!$B$56)-Costeo!$B$58)+IF(AND((0*Costeo!$B$120+0*Costeo!$C$120+$A95*Costeo!$D$120+0*Costeo!$E$120)&lt;=1000000,(0*Costeo!$B$119+0*Costeo!$C$119+$A95*Costeo!$D$119+0*Costeo!$E$119)&lt;=1000),0,IF((0*Costeo!$B$120+0*Costeo!$C$120+$A95*Costeo!$D$120+0*Costeo!$E$120)&lt;=10000000,20,IF((0*Costeo!$B$120+0*Costeo!$C$120+$A95*Costeo!$D$120+0*Costeo!$E$120)&lt;=50000000,100,300)))+MAX(0,ROUNDUP((0*Costeo!$B$36+0*Costeo!$C$36+$A95*Costeo!$D$36+0*Costeo!$E$36)/5000,0)-1)*Costeo!$B$62+IF((0*Costeo!$B$36+0*Costeo!$C$36+$A95*Costeo!$D$36+0*Costeo!$E$36)&gt;5000,32-Costeo!$B$61,0))*Costeo!$B$51,2))))&gt;=0),$A95,1000000000)</f>
        <v>1000000000</v>
      </c>
      <c r="E95" s="121">
        <f>IF(AND($A95*Costeo!$E$36&lt;=10000,(($A95)*$D$12-$B$4-((ROUND((MAX(0,(0*Costeo!$B$117+0*Costeo!$C$117+0*Costeo!$D$117+$A95*Costeo!$E$117)-100)*Costeo!$B$53+MAX(0,(0*Costeo!$B$118+0*Costeo!$C$118+0*Costeo!$D$118+$A95*Costeo!$E$118)-250)*Costeo!$B$52+(MAX(0,ROUNDUP(((0*Costeo!$B$116+0*Costeo!$C$116)+(0*Costeo!$D$116+$A95*Costeo!$E$116)*0.05)*2,0)-8)+(0*Costeo!$B$131+0*Costeo!$C$131+0*Costeo!$D$131+$A95*Costeo!$E$131))*Costeo!$B$54+IF((0*Costeo!$B$36+0*Costeo!$C$36)&lt;=2000,10,IF((0*Costeo!$B$36+0*Costeo!$C$36)&lt;=5000,15,IF((0*Costeo!$B$36+0*Costeo!$C$36)&lt;=10000,60,110)))-10)*Costeo!$B$51,2))+(ROUND((MAX(0,(0*Costeo!$B$130+0*Costeo!$C$130+0*Costeo!$D$130+$A95*Costeo!$E$130)+20*2*2*Costeo!$B$69+30*(1/3600*Costeo!$B$55+5/3600*Costeo!$B$56)-Costeo!$B$58)+IF(AND((0*Costeo!$B$120+0*Costeo!$C$120+0*Costeo!$D$120+$A95*Costeo!$E$120)&lt;=1000000,(0*Costeo!$B$119+0*Costeo!$C$119+0*Costeo!$D$119+$A95*Costeo!$E$119)&lt;=1000),0,IF((0*Costeo!$B$120+0*Costeo!$C$120+0*Costeo!$D$120+$A95*Costeo!$E$120)&lt;=10000000,20,IF((0*Costeo!$B$120+0*Costeo!$C$120+0*Costeo!$D$120+$A95*Costeo!$E$120)&lt;=50000000,100,300)))+MAX(0,ROUNDUP((0*Costeo!$B$36+0*Costeo!$C$36+0*Costeo!$D$36+$A95*Costeo!$E$36)/5000,0)-1)*Costeo!$B$62+IF((0*Costeo!$B$36+0*Costeo!$C$36+0*Costeo!$D$36+$A95*Costeo!$E$36)&gt;5000,32-Costeo!$B$61,0))*Costeo!$B$51,2))))&gt;=0),$A95,1000000000)</f>
        <v>1000000000</v>
      </c>
    </row>
    <row r="96" hidden="1" outlineLevel="1" ht="30" customHeight="1" s="61">
      <c r="A96" s="52" t="n">
        <v>45</v>
      </c>
      <c r="B96" s="121">
        <f>IF(AND($A96*Costeo!$B$36&lt;=10000,(($A96)*$D$9-$B$4-((ROUND((MAX(0,($A96*Costeo!$B$117+0*Costeo!$C$117+0*Costeo!$D$117+0*Costeo!$E$117)-100)*Costeo!$B$53+MAX(0,($A96*Costeo!$B$118+0*Costeo!$C$118+0*Costeo!$D$118+0*Costeo!$E$118)-250)*Costeo!$B$52+(MAX(0,ROUNDUP((($A96*Costeo!$B$116+0*Costeo!$C$116)+(0*Costeo!$D$116+0*Costeo!$E$116)*0.05)*2,0)-8)+($A96*Costeo!$B$131+0*Costeo!$C$131+0*Costeo!$D$131+0*Costeo!$E$131))*Costeo!$B$54+IF(($A96*Costeo!$B$36+0*Costeo!$C$36)&lt;=2000,10,IF(($A96*Costeo!$B$36+0*Costeo!$C$36)&lt;=5000,15,IF(($A96*Costeo!$B$36+0*Costeo!$C$36)&lt;=10000,60,110)))-10)*Costeo!$B$51,2))+(ROUND((MAX(0,($A96*Costeo!$B$130+0*Costeo!$C$130+0*Costeo!$D$130+0*Costeo!$E$130)+20*2*2*Costeo!$B$69+30*(1/3600*Costeo!$B$55+5/3600*Costeo!$B$56)-Costeo!$B$58)+IF(AND(($A96*Costeo!$B$120+0*Costeo!$C$120+0*Costeo!$D$120+0*Costeo!$E$120)&lt;=1000000,($A96*Costeo!$B$119+0*Costeo!$C$119+0*Costeo!$D$119+0*Costeo!$E$119)&lt;=1000),0,IF(($A96*Costeo!$B$120+0*Costeo!$C$120+0*Costeo!$D$120+0*Costeo!$E$120)&lt;=10000000,20,IF(($A96*Costeo!$B$120+0*Costeo!$C$120+0*Costeo!$D$120+0*Costeo!$E$120)&lt;=50000000,100,300)))+MAX(0,ROUNDUP(($A96*Costeo!$B$36+0*Costeo!$C$36+0*Costeo!$D$36+0*Costeo!$E$36)/5000,0)-1)*Costeo!$B$62+IF(($A96*Costeo!$B$36+0*Costeo!$C$36+0*Costeo!$D$36+0*Costeo!$E$36)&gt;5000,32-Costeo!$B$61,0))*Costeo!$B$51,2))))&gt;=0),$A96,1000000000)</f>
        <v>45</v>
      </c>
      <c r="C96" s="121">
        <f>IF(AND($A96*Costeo!$C$36&lt;=10000,(($A96)*$D$10-$B$4-((ROUND((MAX(0,(0*Costeo!$B$117+$A96*Costeo!$C$117+0*Costeo!$D$117+0*Costeo!$E$117)-100)*Costeo!$B$53+MAX(0,(0*Costeo!$B$118+$A96*Costeo!$C$118+0*Costeo!$D$118+0*Costeo!$E$118)-250)*Costeo!$B$52+(MAX(0,ROUNDUP(((0*Costeo!$B$116+$A96*Costeo!$C$116)+(0*Costeo!$D$116+0*Costeo!$E$116)*0.05)*2,0)-8)+(0*Costeo!$B$131+$A96*Costeo!$C$131+0*Costeo!$D$131+0*Costeo!$E$131))*Costeo!$B$54+IF((0*Costeo!$B$36+$A96*Costeo!$C$36)&lt;=2000,10,IF((0*Costeo!$B$36+$A96*Costeo!$C$36)&lt;=5000,15,IF((0*Costeo!$B$36+$A96*Costeo!$C$36)&lt;=10000,60,110)))-10)*Costeo!$B$51,2))+(ROUND((MAX(0,(0*Costeo!$B$130+$A96*Costeo!$C$130+0*Costeo!$D$130+0*Costeo!$E$130)+20*2*2*Costeo!$B$69+30*(1/3600*Costeo!$B$55+5/3600*Costeo!$B$56)-Costeo!$B$58)+IF(AND((0*Costeo!$B$120+$A96*Costeo!$C$120+0*Costeo!$D$120+0*Costeo!$E$120)&lt;=1000000,(0*Costeo!$B$119+$A96*Costeo!$C$119+0*Costeo!$D$119+0*Costeo!$E$119)&lt;=1000),0,IF((0*Costeo!$B$120+$A96*Costeo!$C$120+0*Costeo!$D$120+0*Costeo!$E$120)&lt;=10000000,20,IF((0*Costeo!$B$120+$A96*Costeo!$C$120+0*Costeo!$D$120+0*Costeo!$E$120)&lt;=50000000,100,300)))+MAX(0,ROUNDUP((0*Costeo!$B$36+$A96*Costeo!$C$36+0*Costeo!$D$36+0*Costeo!$E$36)/5000,0)-1)*Costeo!$B$62+IF((0*Costeo!$B$36+$A96*Costeo!$C$36+0*Costeo!$D$36+0*Costeo!$E$36)&gt;5000,32-Costeo!$B$61,0))*Costeo!$B$51,2))))&gt;=0),$A96,1000000000)</f>
        <v>45</v>
      </c>
      <c r="D96" s="121">
        <f>IF(AND($A96*Costeo!$D$36&lt;=10000,(($A96)*$D$11-$B$4-((ROUND((MAX(0,(0*Costeo!$B$117+0*Costeo!$C$117+$A96*Costeo!$D$117+0*Costeo!$E$117)-100)*Costeo!$B$53+MAX(0,(0*Costeo!$B$118+0*Costeo!$C$118+$A96*Costeo!$D$118+0*Costeo!$E$118)-250)*Costeo!$B$52+(MAX(0,ROUNDUP(((0*Costeo!$B$116+0*Costeo!$C$116)+($A96*Costeo!$D$116+0*Costeo!$E$116)*0.05)*2,0)-8)+(0*Costeo!$B$131+0*Costeo!$C$131+$A96*Costeo!$D$131+0*Costeo!$E$131))*Costeo!$B$54+IF((0*Costeo!$B$36+0*Costeo!$C$36)&lt;=2000,10,IF((0*Costeo!$B$36+0*Costeo!$C$36)&lt;=5000,15,IF((0*Costeo!$B$36+0*Costeo!$C$36)&lt;=10000,60,110)))-10)*Costeo!$B$51,2))+(ROUND((MAX(0,(0*Costeo!$B$130+0*Costeo!$C$130+$A96*Costeo!$D$130+0*Costeo!$E$130)+20*2*2*Costeo!$B$69+30*(1/3600*Costeo!$B$55+5/3600*Costeo!$B$56)-Costeo!$B$58)+IF(AND((0*Costeo!$B$120+0*Costeo!$C$120+$A96*Costeo!$D$120+0*Costeo!$E$120)&lt;=1000000,(0*Costeo!$B$119+0*Costeo!$C$119+$A96*Costeo!$D$119+0*Costeo!$E$119)&lt;=1000),0,IF((0*Costeo!$B$120+0*Costeo!$C$120+$A96*Costeo!$D$120+0*Costeo!$E$120)&lt;=10000000,20,IF((0*Costeo!$B$120+0*Costeo!$C$120+$A96*Costeo!$D$120+0*Costeo!$E$120)&lt;=50000000,100,300)))+MAX(0,ROUNDUP((0*Costeo!$B$36+0*Costeo!$C$36+$A96*Costeo!$D$36+0*Costeo!$E$36)/5000,0)-1)*Costeo!$B$62+IF((0*Costeo!$B$36+0*Costeo!$C$36+$A96*Costeo!$D$36+0*Costeo!$E$36)&gt;5000,32-Costeo!$B$61,0))*Costeo!$B$51,2))))&gt;=0),$A96,1000000000)</f>
        <v>1000000000</v>
      </c>
      <c r="E96" s="121">
        <f>IF(AND($A96*Costeo!$E$36&lt;=10000,(($A96)*$D$12-$B$4-((ROUND((MAX(0,(0*Costeo!$B$117+0*Costeo!$C$117+0*Costeo!$D$117+$A96*Costeo!$E$117)-100)*Costeo!$B$53+MAX(0,(0*Costeo!$B$118+0*Costeo!$C$118+0*Costeo!$D$118+$A96*Costeo!$E$118)-250)*Costeo!$B$52+(MAX(0,ROUNDUP(((0*Costeo!$B$116+0*Costeo!$C$116)+(0*Costeo!$D$116+$A96*Costeo!$E$116)*0.05)*2,0)-8)+(0*Costeo!$B$131+0*Costeo!$C$131+0*Costeo!$D$131+$A96*Costeo!$E$131))*Costeo!$B$54+IF((0*Costeo!$B$36+0*Costeo!$C$36)&lt;=2000,10,IF((0*Costeo!$B$36+0*Costeo!$C$36)&lt;=5000,15,IF((0*Costeo!$B$36+0*Costeo!$C$36)&lt;=10000,60,110)))-10)*Costeo!$B$51,2))+(ROUND((MAX(0,(0*Costeo!$B$130+0*Costeo!$C$130+0*Costeo!$D$130+$A96*Costeo!$E$130)+20*2*2*Costeo!$B$69+30*(1/3600*Costeo!$B$55+5/3600*Costeo!$B$56)-Costeo!$B$58)+IF(AND((0*Costeo!$B$120+0*Costeo!$C$120+0*Costeo!$D$120+$A96*Costeo!$E$120)&lt;=1000000,(0*Costeo!$B$119+0*Costeo!$C$119+0*Costeo!$D$119+$A96*Costeo!$E$119)&lt;=1000),0,IF((0*Costeo!$B$120+0*Costeo!$C$120+0*Costeo!$D$120+$A96*Costeo!$E$120)&lt;=10000000,20,IF((0*Costeo!$B$120+0*Costeo!$C$120+0*Costeo!$D$120+$A96*Costeo!$E$120)&lt;=50000000,100,300)))+MAX(0,ROUNDUP((0*Costeo!$B$36+0*Costeo!$C$36+0*Costeo!$D$36+$A96*Costeo!$E$36)/5000,0)-1)*Costeo!$B$62+IF((0*Costeo!$B$36+0*Costeo!$C$36+0*Costeo!$D$36+$A96*Costeo!$E$36)&gt;5000,32-Costeo!$B$61,0))*Costeo!$B$51,2))))&gt;=0),$A96,1000000000)</f>
        <v>1000000000</v>
      </c>
    </row>
    <row r="97" hidden="1" outlineLevel="1" ht="30" customHeight="1" s="61">
      <c r="A97" s="52" t="n">
        <v>46</v>
      </c>
      <c r="B97" s="121">
        <f>IF(AND($A97*Costeo!$B$36&lt;=10000,(($A97)*$D$9-$B$4-((ROUND((MAX(0,($A97*Costeo!$B$117+0*Costeo!$C$117+0*Costeo!$D$117+0*Costeo!$E$117)-100)*Costeo!$B$53+MAX(0,($A97*Costeo!$B$118+0*Costeo!$C$118+0*Costeo!$D$118+0*Costeo!$E$118)-250)*Costeo!$B$52+(MAX(0,ROUNDUP((($A97*Costeo!$B$116+0*Costeo!$C$116)+(0*Costeo!$D$116+0*Costeo!$E$116)*0.05)*2,0)-8)+($A97*Costeo!$B$131+0*Costeo!$C$131+0*Costeo!$D$131+0*Costeo!$E$131))*Costeo!$B$54+IF(($A97*Costeo!$B$36+0*Costeo!$C$36)&lt;=2000,10,IF(($A97*Costeo!$B$36+0*Costeo!$C$36)&lt;=5000,15,IF(($A97*Costeo!$B$36+0*Costeo!$C$36)&lt;=10000,60,110)))-10)*Costeo!$B$51,2))+(ROUND((MAX(0,($A97*Costeo!$B$130+0*Costeo!$C$130+0*Costeo!$D$130+0*Costeo!$E$130)+20*2*2*Costeo!$B$69+30*(1/3600*Costeo!$B$55+5/3600*Costeo!$B$56)-Costeo!$B$58)+IF(AND(($A97*Costeo!$B$120+0*Costeo!$C$120+0*Costeo!$D$120+0*Costeo!$E$120)&lt;=1000000,($A97*Costeo!$B$119+0*Costeo!$C$119+0*Costeo!$D$119+0*Costeo!$E$119)&lt;=1000),0,IF(($A97*Costeo!$B$120+0*Costeo!$C$120+0*Costeo!$D$120+0*Costeo!$E$120)&lt;=10000000,20,IF(($A97*Costeo!$B$120+0*Costeo!$C$120+0*Costeo!$D$120+0*Costeo!$E$120)&lt;=50000000,100,300)))+MAX(0,ROUNDUP(($A97*Costeo!$B$36+0*Costeo!$C$36+0*Costeo!$D$36+0*Costeo!$E$36)/5000,0)-1)*Costeo!$B$62+IF(($A97*Costeo!$B$36+0*Costeo!$C$36+0*Costeo!$D$36+0*Costeo!$E$36)&gt;5000,32-Costeo!$B$61,0))*Costeo!$B$51,2))))&gt;=0),$A97,1000000000)</f>
        <v>46</v>
      </c>
      <c r="C97" s="121">
        <f>IF(AND($A97*Costeo!$C$36&lt;=10000,(($A97)*$D$10-$B$4-((ROUND((MAX(0,(0*Costeo!$B$117+$A97*Costeo!$C$117+0*Costeo!$D$117+0*Costeo!$E$117)-100)*Costeo!$B$53+MAX(0,(0*Costeo!$B$118+$A97*Costeo!$C$118+0*Costeo!$D$118+0*Costeo!$E$118)-250)*Costeo!$B$52+(MAX(0,ROUNDUP(((0*Costeo!$B$116+$A97*Costeo!$C$116)+(0*Costeo!$D$116+0*Costeo!$E$116)*0.05)*2,0)-8)+(0*Costeo!$B$131+$A97*Costeo!$C$131+0*Costeo!$D$131+0*Costeo!$E$131))*Costeo!$B$54+IF((0*Costeo!$B$36+$A97*Costeo!$C$36)&lt;=2000,10,IF((0*Costeo!$B$36+$A97*Costeo!$C$36)&lt;=5000,15,IF((0*Costeo!$B$36+$A97*Costeo!$C$36)&lt;=10000,60,110)))-10)*Costeo!$B$51,2))+(ROUND((MAX(0,(0*Costeo!$B$130+$A97*Costeo!$C$130+0*Costeo!$D$130+0*Costeo!$E$130)+20*2*2*Costeo!$B$69+30*(1/3600*Costeo!$B$55+5/3600*Costeo!$B$56)-Costeo!$B$58)+IF(AND((0*Costeo!$B$120+$A97*Costeo!$C$120+0*Costeo!$D$120+0*Costeo!$E$120)&lt;=1000000,(0*Costeo!$B$119+$A97*Costeo!$C$119+0*Costeo!$D$119+0*Costeo!$E$119)&lt;=1000),0,IF((0*Costeo!$B$120+$A97*Costeo!$C$120+0*Costeo!$D$120+0*Costeo!$E$120)&lt;=10000000,20,IF((0*Costeo!$B$120+$A97*Costeo!$C$120+0*Costeo!$D$120+0*Costeo!$E$120)&lt;=50000000,100,300)))+MAX(0,ROUNDUP((0*Costeo!$B$36+$A97*Costeo!$C$36+0*Costeo!$D$36+0*Costeo!$E$36)/5000,0)-1)*Costeo!$B$62+IF((0*Costeo!$B$36+$A97*Costeo!$C$36+0*Costeo!$D$36+0*Costeo!$E$36)&gt;5000,32-Costeo!$B$61,0))*Costeo!$B$51,2))))&gt;=0),$A97,1000000000)</f>
        <v>46</v>
      </c>
      <c r="D97" s="121">
        <f>IF(AND($A97*Costeo!$D$36&lt;=10000,(($A97)*$D$11-$B$4-((ROUND((MAX(0,(0*Costeo!$B$117+0*Costeo!$C$117+$A97*Costeo!$D$117+0*Costeo!$E$117)-100)*Costeo!$B$53+MAX(0,(0*Costeo!$B$118+0*Costeo!$C$118+$A97*Costeo!$D$118+0*Costeo!$E$118)-250)*Costeo!$B$52+(MAX(0,ROUNDUP(((0*Costeo!$B$116+0*Costeo!$C$116)+($A97*Costeo!$D$116+0*Costeo!$E$116)*0.05)*2,0)-8)+(0*Costeo!$B$131+0*Costeo!$C$131+$A97*Costeo!$D$131+0*Costeo!$E$131))*Costeo!$B$54+IF((0*Costeo!$B$36+0*Costeo!$C$36)&lt;=2000,10,IF((0*Costeo!$B$36+0*Costeo!$C$36)&lt;=5000,15,IF((0*Costeo!$B$36+0*Costeo!$C$36)&lt;=10000,60,110)))-10)*Costeo!$B$51,2))+(ROUND((MAX(0,(0*Costeo!$B$130+0*Costeo!$C$130+$A97*Costeo!$D$130+0*Costeo!$E$130)+20*2*2*Costeo!$B$69+30*(1/3600*Costeo!$B$55+5/3600*Costeo!$B$56)-Costeo!$B$58)+IF(AND((0*Costeo!$B$120+0*Costeo!$C$120+$A97*Costeo!$D$120+0*Costeo!$E$120)&lt;=1000000,(0*Costeo!$B$119+0*Costeo!$C$119+$A97*Costeo!$D$119+0*Costeo!$E$119)&lt;=1000),0,IF((0*Costeo!$B$120+0*Costeo!$C$120+$A97*Costeo!$D$120+0*Costeo!$E$120)&lt;=10000000,20,IF((0*Costeo!$B$120+0*Costeo!$C$120+$A97*Costeo!$D$120+0*Costeo!$E$120)&lt;=50000000,100,300)))+MAX(0,ROUNDUP((0*Costeo!$B$36+0*Costeo!$C$36+$A97*Costeo!$D$36+0*Costeo!$E$36)/5000,0)-1)*Costeo!$B$62+IF((0*Costeo!$B$36+0*Costeo!$C$36+$A97*Costeo!$D$36+0*Costeo!$E$36)&gt;5000,32-Costeo!$B$61,0))*Costeo!$B$51,2))))&gt;=0),$A97,1000000000)</f>
        <v>1000000000</v>
      </c>
      <c r="E97" s="121">
        <f>IF(AND($A97*Costeo!$E$36&lt;=10000,(($A97)*$D$12-$B$4-((ROUND((MAX(0,(0*Costeo!$B$117+0*Costeo!$C$117+0*Costeo!$D$117+$A97*Costeo!$E$117)-100)*Costeo!$B$53+MAX(0,(0*Costeo!$B$118+0*Costeo!$C$118+0*Costeo!$D$118+$A97*Costeo!$E$118)-250)*Costeo!$B$52+(MAX(0,ROUNDUP(((0*Costeo!$B$116+0*Costeo!$C$116)+(0*Costeo!$D$116+$A97*Costeo!$E$116)*0.05)*2,0)-8)+(0*Costeo!$B$131+0*Costeo!$C$131+0*Costeo!$D$131+$A97*Costeo!$E$131))*Costeo!$B$54+IF((0*Costeo!$B$36+0*Costeo!$C$36)&lt;=2000,10,IF((0*Costeo!$B$36+0*Costeo!$C$36)&lt;=5000,15,IF((0*Costeo!$B$36+0*Costeo!$C$36)&lt;=10000,60,110)))-10)*Costeo!$B$51,2))+(ROUND((MAX(0,(0*Costeo!$B$130+0*Costeo!$C$130+0*Costeo!$D$130+$A97*Costeo!$E$130)+20*2*2*Costeo!$B$69+30*(1/3600*Costeo!$B$55+5/3600*Costeo!$B$56)-Costeo!$B$58)+IF(AND((0*Costeo!$B$120+0*Costeo!$C$120+0*Costeo!$D$120+$A97*Costeo!$E$120)&lt;=1000000,(0*Costeo!$B$119+0*Costeo!$C$119+0*Costeo!$D$119+$A97*Costeo!$E$119)&lt;=1000),0,IF((0*Costeo!$B$120+0*Costeo!$C$120+0*Costeo!$D$120+$A97*Costeo!$E$120)&lt;=10000000,20,IF((0*Costeo!$B$120+0*Costeo!$C$120+0*Costeo!$D$120+$A97*Costeo!$E$120)&lt;=50000000,100,300)))+MAX(0,ROUNDUP((0*Costeo!$B$36+0*Costeo!$C$36+0*Costeo!$D$36+$A97*Costeo!$E$36)/5000,0)-1)*Costeo!$B$62+IF((0*Costeo!$B$36+0*Costeo!$C$36+0*Costeo!$D$36+$A97*Costeo!$E$36)&gt;5000,32-Costeo!$B$61,0))*Costeo!$B$51,2))))&gt;=0),$A97,1000000000)</f>
        <v>1000000000</v>
      </c>
    </row>
    <row r="98" hidden="1" outlineLevel="1" ht="30" customHeight="1" s="61">
      <c r="A98" s="52" t="n">
        <v>47</v>
      </c>
      <c r="B98" s="121">
        <f>IF(AND($A98*Costeo!$B$36&lt;=10000,(($A98)*$D$9-$B$4-((ROUND((MAX(0,($A98*Costeo!$B$117+0*Costeo!$C$117+0*Costeo!$D$117+0*Costeo!$E$117)-100)*Costeo!$B$53+MAX(0,($A98*Costeo!$B$118+0*Costeo!$C$118+0*Costeo!$D$118+0*Costeo!$E$118)-250)*Costeo!$B$52+(MAX(0,ROUNDUP((($A98*Costeo!$B$116+0*Costeo!$C$116)+(0*Costeo!$D$116+0*Costeo!$E$116)*0.05)*2,0)-8)+($A98*Costeo!$B$131+0*Costeo!$C$131+0*Costeo!$D$131+0*Costeo!$E$131))*Costeo!$B$54+IF(($A98*Costeo!$B$36+0*Costeo!$C$36)&lt;=2000,10,IF(($A98*Costeo!$B$36+0*Costeo!$C$36)&lt;=5000,15,IF(($A98*Costeo!$B$36+0*Costeo!$C$36)&lt;=10000,60,110)))-10)*Costeo!$B$51,2))+(ROUND((MAX(0,($A98*Costeo!$B$130+0*Costeo!$C$130+0*Costeo!$D$130+0*Costeo!$E$130)+20*2*2*Costeo!$B$69+30*(1/3600*Costeo!$B$55+5/3600*Costeo!$B$56)-Costeo!$B$58)+IF(AND(($A98*Costeo!$B$120+0*Costeo!$C$120+0*Costeo!$D$120+0*Costeo!$E$120)&lt;=1000000,($A98*Costeo!$B$119+0*Costeo!$C$119+0*Costeo!$D$119+0*Costeo!$E$119)&lt;=1000),0,IF(($A98*Costeo!$B$120+0*Costeo!$C$120+0*Costeo!$D$120+0*Costeo!$E$120)&lt;=10000000,20,IF(($A98*Costeo!$B$120+0*Costeo!$C$120+0*Costeo!$D$120+0*Costeo!$E$120)&lt;=50000000,100,300)))+MAX(0,ROUNDUP(($A98*Costeo!$B$36+0*Costeo!$C$36+0*Costeo!$D$36+0*Costeo!$E$36)/5000,0)-1)*Costeo!$B$62+IF(($A98*Costeo!$B$36+0*Costeo!$C$36+0*Costeo!$D$36+0*Costeo!$E$36)&gt;5000,32-Costeo!$B$61,0))*Costeo!$B$51,2))))&gt;=0),$A98,1000000000)</f>
        <v>47</v>
      </c>
      <c r="C98" s="121">
        <f>IF(AND($A98*Costeo!$C$36&lt;=10000,(($A98)*$D$10-$B$4-((ROUND((MAX(0,(0*Costeo!$B$117+$A98*Costeo!$C$117+0*Costeo!$D$117+0*Costeo!$E$117)-100)*Costeo!$B$53+MAX(0,(0*Costeo!$B$118+$A98*Costeo!$C$118+0*Costeo!$D$118+0*Costeo!$E$118)-250)*Costeo!$B$52+(MAX(0,ROUNDUP(((0*Costeo!$B$116+$A98*Costeo!$C$116)+(0*Costeo!$D$116+0*Costeo!$E$116)*0.05)*2,0)-8)+(0*Costeo!$B$131+$A98*Costeo!$C$131+0*Costeo!$D$131+0*Costeo!$E$131))*Costeo!$B$54+IF((0*Costeo!$B$36+$A98*Costeo!$C$36)&lt;=2000,10,IF((0*Costeo!$B$36+$A98*Costeo!$C$36)&lt;=5000,15,IF((0*Costeo!$B$36+$A98*Costeo!$C$36)&lt;=10000,60,110)))-10)*Costeo!$B$51,2))+(ROUND((MAX(0,(0*Costeo!$B$130+$A98*Costeo!$C$130+0*Costeo!$D$130+0*Costeo!$E$130)+20*2*2*Costeo!$B$69+30*(1/3600*Costeo!$B$55+5/3600*Costeo!$B$56)-Costeo!$B$58)+IF(AND((0*Costeo!$B$120+$A98*Costeo!$C$120+0*Costeo!$D$120+0*Costeo!$E$120)&lt;=1000000,(0*Costeo!$B$119+$A98*Costeo!$C$119+0*Costeo!$D$119+0*Costeo!$E$119)&lt;=1000),0,IF((0*Costeo!$B$120+$A98*Costeo!$C$120+0*Costeo!$D$120+0*Costeo!$E$120)&lt;=10000000,20,IF((0*Costeo!$B$120+$A98*Costeo!$C$120+0*Costeo!$D$120+0*Costeo!$E$120)&lt;=50000000,100,300)))+MAX(0,ROUNDUP((0*Costeo!$B$36+$A98*Costeo!$C$36+0*Costeo!$D$36+0*Costeo!$E$36)/5000,0)-1)*Costeo!$B$62+IF((0*Costeo!$B$36+$A98*Costeo!$C$36+0*Costeo!$D$36+0*Costeo!$E$36)&gt;5000,32-Costeo!$B$61,0))*Costeo!$B$51,2))))&gt;=0),$A98,1000000000)</f>
        <v>47</v>
      </c>
      <c r="D98" s="121">
        <f>IF(AND($A98*Costeo!$D$36&lt;=10000,(($A98)*$D$11-$B$4-((ROUND((MAX(0,(0*Costeo!$B$117+0*Costeo!$C$117+$A98*Costeo!$D$117+0*Costeo!$E$117)-100)*Costeo!$B$53+MAX(0,(0*Costeo!$B$118+0*Costeo!$C$118+$A98*Costeo!$D$118+0*Costeo!$E$118)-250)*Costeo!$B$52+(MAX(0,ROUNDUP(((0*Costeo!$B$116+0*Costeo!$C$116)+($A98*Costeo!$D$116+0*Costeo!$E$116)*0.05)*2,0)-8)+(0*Costeo!$B$131+0*Costeo!$C$131+$A98*Costeo!$D$131+0*Costeo!$E$131))*Costeo!$B$54+IF((0*Costeo!$B$36+0*Costeo!$C$36)&lt;=2000,10,IF((0*Costeo!$B$36+0*Costeo!$C$36)&lt;=5000,15,IF((0*Costeo!$B$36+0*Costeo!$C$36)&lt;=10000,60,110)))-10)*Costeo!$B$51,2))+(ROUND((MAX(0,(0*Costeo!$B$130+0*Costeo!$C$130+$A98*Costeo!$D$130+0*Costeo!$E$130)+20*2*2*Costeo!$B$69+30*(1/3600*Costeo!$B$55+5/3600*Costeo!$B$56)-Costeo!$B$58)+IF(AND((0*Costeo!$B$120+0*Costeo!$C$120+$A98*Costeo!$D$120+0*Costeo!$E$120)&lt;=1000000,(0*Costeo!$B$119+0*Costeo!$C$119+$A98*Costeo!$D$119+0*Costeo!$E$119)&lt;=1000),0,IF((0*Costeo!$B$120+0*Costeo!$C$120+$A98*Costeo!$D$120+0*Costeo!$E$120)&lt;=10000000,20,IF((0*Costeo!$B$120+0*Costeo!$C$120+$A98*Costeo!$D$120+0*Costeo!$E$120)&lt;=50000000,100,300)))+MAX(0,ROUNDUP((0*Costeo!$B$36+0*Costeo!$C$36+$A98*Costeo!$D$36+0*Costeo!$E$36)/5000,0)-1)*Costeo!$B$62+IF((0*Costeo!$B$36+0*Costeo!$C$36+$A98*Costeo!$D$36+0*Costeo!$E$36)&gt;5000,32-Costeo!$B$61,0))*Costeo!$B$51,2))))&gt;=0),$A98,1000000000)</f>
        <v>1000000000</v>
      </c>
      <c r="E98" s="121">
        <f>IF(AND($A98*Costeo!$E$36&lt;=10000,(($A98)*$D$12-$B$4-((ROUND((MAX(0,(0*Costeo!$B$117+0*Costeo!$C$117+0*Costeo!$D$117+$A98*Costeo!$E$117)-100)*Costeo!$B$53+MAX(0,(0*Costeo!$B$118+0*Costeo!$C$118+0*Costeo!$D$118+$A98*Costeo!$E$118)-250)*Costeo!$B$52+(MAX(0,ROUNDUP(((0*Costeo!$B$116+0*Costeo!$C$116)+(0*Costeo!$D$116+$A98*Costeo!$E$116)*0.05)*2,0)-8)+(0*Costeo!$B$131+0*Costeo!$C$131+0*Costeo!$D$131+$A98*Costeo!$E$131))*Costeo!$B$54+IF((0*Costeo!$B$36+0*Costeo!$C$36)&lt;=2000,10,IF((0*Costeo!$B$36+0*Costeo!$C$36)&lt;=5000,15,IF((0*Costeo!$B$36+0*Costeo!$C$36)&lt;=10000,60,110)))-10)*Costeo!$B$51,2))+(ROUND((MAX(0,(0*Costeo!$B$130+0*Costeo!$C$130+0*Costeo!$D$130+$A98*Costeo!$E$130)+20*2*2*Costeo!$B$69+30*(1/3600*Costeo!$B$55+5/3600*Costeo!$B$56)-Costeo!$B$58)+IF(AND((0*Costeo!$B$120+0*Costeo!$C$120+0*Costeo!$D$120+$A98*Costeo!$E$120)&lt;=1000000,(0*Costeo!$B$119+0*Costeo!$C$119+0*Costeo!$D$119+$A98*Costeo!$E$119)&lt;=1000),0,IF((0*Costeo!$B$120+0*Costeo!$C$120+0*Costeo!$D$120+$A98*Costeo!$E$120)&lt;=10000000,20,IF((0*Costeo!$B$120+0*Costeo!$C$120+0*Costeo!$D$120+$A98*Costeo!$E$120)&lt;=50000000,100,300)))+MAX(0,ROUNDUP((0*Costeo!$B$36+0*Costeo!$C$36+0*Costeo!$D$36+$A98*Costeo!$E$36)/5000,0)-1)*Costeo!$B$62+IF((0*Costeo!$B$36+0*Costeo!$C$36+0*Costeo!$D$36+$A98*Costeo!$E$36)&gt;5000,32-Costeo!$B$61,0))*Costeo!$B$51,2))))&gt;=0),$A98,1000000000)</f>
        <v>1000000000</v>
      </c>
    </row>
    <row r="99" hidden="1" outlineLevel="1" ht="30" customHeight="1" s="61">
      <c r="A99" s="52" t="n">
        <v>48</v>
      </c>
      <c r="B99" s="121">
        <f>IF(AND($A99*Costeo!$B$36&lt;=10000,(($A99)*$D$9-$B$4-((ROUND((MAX(0,($A99*Costeo!$B$117+0*Costeo!$C$117+0*Costeo!$D$117+0*Costeo!$E$117)-100)*Costeo!$B$53+MAX(0,($A99*Costeo!$B$118+0*Costeo!$C$118+0*Costeo!$D$118+0*Costeo!$E$118)-250)*Costeo!$B$52+(MAX(0,ROUNDUP((($A99*Costeo!$B$116+0*Costeo!$C$116)+(0*Costeo!$D$116+0*Costeo!$E$116)*0.05)*2,0)-8)+($A99*Costeo!$B$131+0*Costeo!$C$131+0*Costeo!$D$131+0*Costeo!$E$131))*Costeo!$B$54+IF(($A99*Costeo!$B$36+0*Costeo!$C$36)&lt;=2000,10,IF(($A99*Costeo!$B$36+0*Costeo!$C$36)&lt;=5000,15,IF(($A99*Costeo!$B$36+0*Costeo!$C$36)&lt;=10000,60,110)))-10)*Costeo!$B$51,2))+(ROUND((MAX(0,($A99*Costeo!$B$130+0*Costeo!$C$130+0*Costeo!$D$130+0*Costeo!$E$130)+20*2*2*Costeo!$B$69+30*(1/3600*Costeo!$B$55+5/3600*Costeo!$B$56)-Costeo!$B$58)+IF(AND(($A99*Costeo!$B$120+0*Costeo!$C$120+0*Costeo!$D$120+0*Costeo!$E$120)&lt;=1000000,($A99*Costeo!$B$119+0*Costeo!$C$119+0*Costeo!$D$119+0*Costeo!$E$119)&lt;=1000),0,IF(($A99*Costeo!$B$120+0*Costeo!$C$120+0*Costeo!$D$120+0*Costeo!$E$120)&lt;=10000000,20,IF(($A99*Costeo!$B$120+0*Costeo!$C$120+0*Costeo!$D$120+0*Costeo!$E$120)&lt;=50000000,100,300)))+MAX(0,ROUNDUP(($A99*Costeo!$B$36+0*Costeo!$C$36+0*Costeo!$D$36+0*Costeo!$E$36)/5000,0)-1)*Costeo!$B$62+IF(($A99*Costeo!$B$36+0*Costeo!$C$36+0*Costeo!$D$36+0*Costeo!$E$36)&gt;5000,32-Costeo!$B$61,0))*Costeo!$B$51,2))))&gt;=0),$A99,1000000000)</f>
        <v>48</v>
      </c>
      <c r="C99" s="121">
        <f>IF(AND($A99*Costeo!$C$36&lt;=10000,(($A99)*$D$10-$B$4-((ROUND((MAX(0,(0*Costeo!$B$117+$A99*Costeo!$C$117+0*Costeo!$D$117+0*Costeo!$E$117)-100)*Costeo!$B$53+MAX(0,(0*Costeo!$B$118+$A99*Costeo!$C$118+0*Costeo!$D$118+0*Costeo!$E$118)-250)*Costeo!$B$52+(MAX(0,ROUNDUP(((0*Costeo!$B$116+$A99*Costeo!$C$116)+(0*Costeo!$D$116+0*Costeo!$E$116)*0.05)*2,0)-8)+(0*Costeo!$B$131+$A99*Costeo!$C$131+0*Costeo!$D$131+0*Costeo!$E$131))*Costeo!$B$54+IF((0*Costeo!$B$36+$A99*Costeo!$C$36)&lt;=2000,10,IF((0*Costeo!$B$36+$A99*Costeo!$C$36)&lt;=5000,15,IF((0*Costeo!$B$36+$A99*Costeo!$C$36)&lt;=10000,60,110)))-10)*Costeo!$B$51,2))+(ROUND((MAX(0,(0*Costeo!$B$130+$A99*Costeo!$C$130+0*Costeo!$D$130+0*Costeo!$E$130)+20*2*2*Costeo!$B$69+30*(1/3600*Costeo!$B$55+5/3600*Costeo!$B$56)-Costeo!$B$58)+IF(AND((0*Costeo!$B$120+$A99*Costeo!$C$120+0*Costeo!$D$120+0*Costeo!$E$120)&lt;=1000000,(0*Costeo!$B$119+$A99*Costeo!$C$119+0*Costeo!$D$119+0*Costeo!$E$119)&lt;=1000),0,IF((0*Costeo!$B$120+$A99*Costeo!$C$120+0*Costeo!$D$120+0*Costeo!$E$120)&lt;=10000000,20,IF((0*Costeo!$B$120+$A99*Costeo!$C$120+0*Costeo!$D$120+0*Costeo!$E$120)&lt;=50000000,100,300)))+MAX(0,ROUNDUP((0*Costeo!$B$36+$A99*Costeo!$C$36+0*Costeo!$D$36+0*Costeo!$E$36)/5000,0)-1)*Costeo!$B$62+IF((0*Costeo!$B$36+$A99*Costeo!$C$36+0*Costeo!$D$36+0*Costeo!$E$36)&gt;5000,32-Costeo!$B$61,0))*Costeo!$B$51,2))))&gt;=0),$A99,1000000000)</f>
        <v>48</v>
      </c>
      <c r="D99" s="121">
        <f>IF(AND($A99*Costeo!$D$36&lt;=10000,(($A99)*$D$11-$B$4-((ROUND((MAX(0,(0*Costeo!$B$117+0*Costeo!$C$117+$A99*Costeo!$D$117+0*Costeo!$E$117)-100)*Costeo!$B$53+MAX(0,(0*Costeo!$B$118+0*Costeo!$C$118+$A99*Costeo!$D$118+0*Costeo!$E$118)-250)*Costeo!$B$52+(MAX(0,ROUNDUP(((0*Costeo!$B$116+0*Costeo!$C$116)+($A99*Costeo!$D$116+0*Costeo!$E$116)*0.05)*2,0)-8)+(0*Costeo!$B$131+0*Costeo!$C$131+$A99*Costeo!$D$131+0*Costeo!$E$131))*Costeo!$B$54+IF((0*Costeo!$B$36+0*Costeo!$C$36)&lt;=2000,10,IF((0*Costeo!$B$36+0*Costeo!$C$36)&lt;=5000,15,IF((0*Costeo!$B$36+0*Costeo!$C$36)&lt;=10000,60,110)))-10)*Costeo!$B$51,2))+(ROUND((MAX(0,(0*Costeo!$B$130+0*Costeo!$C$130+$A99*Costeo!$D$130+0*Costeo!$E$130)+20*2*2*Costeo!$B$69+30*(1/3600*Costeo!$B$55+5/3600*Costeo!$B$56)-Costeo!$B$58)+IF(AND((0*Costeo!$B$120+0*Costeo!$C$120+$A99*Costeo!$D$120+0*Costeo!$E$120)&lt;=1000000,(0*Costeo!$B$119+0*Costeo!$C$119+$A99*Costeo!$D$119+0*Costeo!$E$119)&lt;=1000),0,IF((0*Costeo!$B$120+0*Costeo!$C$120+$A99*Costeo!$D$120+0*Costeo!$E$120)&lt;=10000000,20,IF((0*Costeo!$B$120+0*Costeo!$C$120+$A99*Costeo!$D$120+0*Costeo!$E$120)&lt;=50000000,100,300)))+MAX(0,ROUNDUP((0*Costeo!$B$36+0*Costeo!$C$36+$A99*Costeo!$D$36+0*Costeo!$E$36)/5000,0)-1)*Costeo!$B$62+IF((0*Costeo!$B$36+0*Costeo!$C$36+$A99*Costeo!$D$36+0*Costeo!$E$36)&gt;5000,32-Costeo!$B$61,0))*Costeo!$B$51,2))))&gt;=0),$A99,1000000000)</f>
        <v>1000000000</v>
      </c>
      <c r="E99" s="121">
        <f>IF(AND($A99*Costeo!$E$36&lt;=10000,(($A99)*$D$12-$B$4-((ROUND((MAX(0,(0*Costeo!$B$117+0*Costeo!$C$117+0*Costeo!$D$117+$A99*Costeo!$E$117)-100)*Costeo!$B$53+MAX(0,(0*Costeo!$B$118+0*Costeo!$C$118+0*Costeo!$D$118+$A99*Costeo!$E$118)-250)*Costeo!$B$52+(MAX(0,ROUNDUP(((0*Costeo!$B$116+0*Costeo!$C$116)+(0*Costeo!$D$116+$A99*Costeo!$E$116)*0.05)*2,0)-8)+(0*Costeo!$B$131+0*Costeo!$C$131+0*Costeo!$D$131+$A99*Costeo!$E$131))*Costeo!$B$54+IF((0*Costeo!$B$36+0*Costeo!$C$36)&lt;=2000,10,IF((0*Costeo!$B$36+0*Costeo!$C$36)&lt;=5000,15,IF((0*Costeo!$B$36+0*Costeo!$C$36)&lt;=10000,60,110)))-10)*Costeo!$B$51,2))+(ROUND((MAX(0,(0*Costeo!$B$130+0*Costeo!$C$130+0*Costeo!$D$130+$A99*Costeo!$E$130)+20*2*2*Costeo!$B$69+30*(1/3600*Costeo!$B$55+5/3600*Costeo!$B$56)-Costeo!$B$58)+IF(AND((0*Costeo!$B$120+0*Costeo!$C$120+0*Costeo!$D$120+$A99*Costeo!$E$120)&lt;=1000000,(0*Costeo!$B$119+0*Costeo!$C$119+0*Costeo!$D$119+$A99*Costeo!$E$119)&lt;=1000),0,IF((0*Costeo!$B$120+0*Costeo!$C$120+0*Costeo!$D$120+$A99*Costeo!$E$120)&lt;=10000000,20,IF((0*Costeo!$B$120+0*Costeo!$C$120+0*Costeo!$D$120+$A99*Costeo!$E$120)&lt;=50000000,100,300)))+MAX(0,ROUNDUP((0*Costeo!$B$36+0*Costeo!$C$36+0*Costeo!$D$36+$A99*Costeo!$E$36)/5000,0)-1)*Costeo!$B$62+IF((0*Costeo!$B$36+0*Costeo!$C$36+0*Costeo!$D$36+$A99*Costeo!$E$36)&gt;5000,32-Costeo!$B$61,0))*Costeo!$B$51,2))))&gt;=0),$A99,1000000000)</f>
        <v>1000000000</v>
      </c>
    </row>
    <row r="100" hidden="1" outlineLevel="1" ht="30" customHeight="1" s="61">
      <c r="A100" s="52" t="n">
        <v>49</v>
      </c>
      <c r="B100" s="121">
        <f>IF(AND($A100*Costeo!$B$36&lt;=10000,(($A100)*$D$9-$B$4-((ROUND((MAX(0,($A100*Costeo!$B$117+0*Costeo!$C$117+0*Costeo!$D$117+0*Costeo!$E$117)-100)*Costeo!$B$53+MAX(0,($A100*Costeo!$B$118+0*Costeo!$C$118+0*Costeo!$D$118+0*Costeo!$E$118)-250)*Costeo!$B$52+(MAX(0,ROUNDUP((($A100*Costeo!$B$116+0*Costeo!$C$116)+(0*Costeo!$D$116+0*Costeo!$E$116)*0.05)*2,0)-8)+($A100*Costeo!$B$131+0*Costeo!$C$131+0*Costeo!$D$131+0*Costeo!$E$131))*Costeo!$B$54+IF(($A100*Costeo!$B$36+0*Costeo!$C$36)&lt;=2000,10,IF(($A100*Costeo!$B$36+0*Costeo!$C$36)&lt;=5000,15,IF(($A100*Costeo!$B$36+0*Costeo!$C$36)&lt;=10000,60,110)))-10)*Costeo!$B$51,2))+(ROUND((MAX(0,($A100*Costeo!$B$130+0*Costeo!$C$130+0*Costeo!$D$130+0*Costeo!$E$130)+20*2*2*Costeo!$B$69+30*(1/3600*Costeo!$B$55+5/3600*Costeo!$B$56)-Costeo!$B$58)+IF(AND(($A100*Costeo!$B$120+0*Costeo!$C$120+0*Costeo!$D$120+0*Costeo!$E$120)&lt;=1000000,($A100*Costeo!$B$119+0*Costeo!$C$119+0*Costeo!$D$119+0*Costeo!$E$119)&lt;=1000),0,IF(($A100*Costeo!$B$120+0*Costeo!$C$120+0*Costeo!$D$120+0*Costeo!$E$120)&lt;=10000000,20,IF(($A100*Costeo!$B$120+0*Costeo!$C$120+0*Costeo!$D$120+0*Costeo!$E$120)&lt;=50000000,100,300)))+MAX(0,ROUNDUP(($A100*Costeo!$B$36+0*Costeo!$C$36+0*Costeo!$D$36+0*Costeo!$E$36)/5000,0)-1)*Costeo!$B$62+IF(($A100*Costeo!$B$36+0*Costeo!$C$36+0*Costeo!$D$36+0*Costeo!$E$36)&gt;5000,32-Costeo!$B$61,0))*Costeo!$B$51,2))))&gt;=0),$A100,1000000000)</f>
        <v>49</v>
      </c>
      <c r="C100" s="121">
        <f>IF(AND($A100*Costeo!$C$36&lt;=10000,(($A100)*$D$10-$B$4-((ROUND((MAX(0,(0*Costeo!$B$117+$A100*Costeo!$C$117+0*Costeo!$D$117+0*Costeo!$E$117)-100)*Costeo!$B$53+MAX(0,(0*Costeo!$B$118+$A100*Costeo!$C$118+0*Costeo!$D$118+0*Costeo!$E$118)-250)*Costeo!$B$52+(MAX(0,ROUNDUP(((0*Costeo!$B$116+$A100*Costeo!$C$116)+(0*Costeo!$D$116+0*Costeo!$E$116)*0.05)*2,0)-8)+(0*Costeo!$B$131+$A100*Costeo!$C$131+0*Costeo!$D$131+0*Costeo!$E$131))*Costeo!$B$54+IF((0*Costeo!$B$36+$A100*Costeo!$C$36)&lt;=2000,10,IF((0*Costeo!$B$36+$A100*Costeo!$C$36)&lt;=5000,15,IF((0*Costeo!$B$36+$A100*Costeo!$C$36)&lt;=10000,60,110)))-10)*Costeo!$B$51,2))+(ROUND((MAX(0,(0*Costeo!$B$130+$A100*Costeo!$C$130+0*Costeo!$D$130+0*Costeo!$E$130)+20*2*2*Costeo!$B$69+30*(1/3600*Costeo!$B$55+5/3600*Costeo!$B$56)-Costeo!$B$58)+IF(AND((0*Costeo!$B$120+$A100*Costeo!$C$120+0*Costeo!$D$120+0*Costeo!$E$120)&lt;=1000000,(0*Costeo!$B$119+$A100*Costeo!$C$119+0*Costeo!$D$119+0*Costeo!$E$119)&lt;=1000),0,IF((0*Costeo!$B$120+$A100*Costeo!$C$120+0*Costeo!$D$120+0*Costeo!$E$120)&lt;=10000000,20,IF((0*Costeo!$B$120+$A100*Costeo!$C$120+0*Costeo!$D$120+0*Costeo!$E$120)&lt;=50000000,100,300)))+MAX(0,ROUNDUP((0*Costeo!$B$36+$A100*Costeo!$C$36+0*Costeo!$D$36+0*Costeo!$E$36)/5000,0)-1)*Costeo!$B$62+IF((0*Costeo!$B$36+$A100*Costeo!$C$36+0*Costeo!$D$36+0*Costeo!$E$36)&gt;5000,32-Costeo!$B$61,0))*Costeo!$B$51,2))))&gt;=0),$A100,1000000000)</f>
        <v>49</v>
      </c>
      <c r="D100" s="121">
        <f>IF(AND($A100*Costeo!$D$36&lt;=10000,(($A100)*$D$11-$B$4-((ROUND((MAX(0,(0*Costeo!$B$117+0*Costeo!$C$117+$A100*Costeo!$D$117+0*Costeo!$E$117)-100)*Costeo!$B$53+MAX(0,(0*Costeo!$B$118+0*Costeo!$C$118+$A100*Costeo!$D$118+0*Costeo!$E$118)-250)*Costeo!$B$52+(MAX(0,ROUNDUP(((0*Costeo!$B$116+0*Costeo!$C$116)+($A100*Costeo!$D$116+0*Costeo!$E$116)*0.05)*2,0)-8)+(0*Costeo!$B$131+0*Costeo!$C$131+$A100*Costeo!$D$131+0*Costeo!$E$131))*Costeo!$B$54+IF((0*Costeo!$B$36+0*Costeo!$C$36)&lt;=2000,10,IF((0*Costeo!$B$36+0*Costeo!$C$36)&lt;=5000,15,IF((0*Costeo!$B$36+0*Costeo!$C$36)&lt;=10000,60,110)))-10)*Costeo!$B$51,2))+(ROUND((MAX(0,(0*Costeo!$B$130+0*Costeo!$C$130+$A100*Costeo!$D$130+0*Costeo!$E$130)+20*2*2*Costeo!$B$69+30*(1/3600*Costeo!$B$55+5/3600*Costeo!$B$56)-Costeo!$B$58)+IF(AND((0*Costeo!$B$120+0*Costeo!$C$120+$A100*Costeo!$D$120+0*Costeo!$E$120)&lt;=1000000,(0*Costeo!$B$119+0*Costeo!$C$119+$A100*Costeo!$D$119+0*Costeo!$E$119)&lt;=1000),0,IF((0*Costeo!$B$120+0*Costeo!$C$120+$A100*Costeo!$D$120+0*Costeo!$E$120)&lt;=10000000,20,IF((0*Costeo!$B$120+0*Costeo!$C$120+$A100*Costeo!$D$120+0*Costeo!$E$120)&lt;=50000000,100,300)))+MAX(0,ROUNDUP((0*Costeo!$B$36+0*Costeo!$C$36+$A100*Costeo!$D$36+0*Costeo!$E$36)/5000,0)-1)*Costeo!$B$62+IF((0*Costeo!$B$36+0*Costeo!$C$36+$A100*Costeo!$D$36+0*Costeo!$E$36)&gt;5000,32-Costeo!$B$61,0))*Costeo!$B$51,2))))&gt;=0),$A100,1000000000)</f>
        <v>1000000000</v>
      </c>
      <c r="E100" s="121">
        <f>IF(AND($A100*Costeo!$E$36&lt;=10000,(($A100)*$D$12-$B$4-((ROUND((MAX(0,(0*Costeo!$B$117+0*Costeo!$C$117+0*Costeo!$D$117+$A100*Costeo!$E$117)-100)*Costeo!$B$53+MAX(0,(0*Costeo!$B$118+0*Costeo!$C$118+0*Costeo!$D$118+$A100*Costeo!$E$118)-250)*Costeo!$B$52+(MAX(0,ROUNDUP(((0*Costeo!$B$116+0*Costeo!$C$116)+(0*Costeo!$D$116+$A100*Costeo!$E$116)*0.05)*2,0)-8)+(0*Costeo!$B$131+0*Costeo!$C$131+0*Costeo!$D$131+$A100*Costeo!$E$131))*Costeo!$B$54+IF((0*Costeo!$B$36+0*Costeo!$C$36)&lt;=2000,10,IF((0*Costeo!$B$36+0*Costeo!$C$36)&lt;=5000,15,IF((0*Costeo!$B$36+0*Costeo!$C$36)&lt;=10000,60,110)))-10)*Costeo!$B$51,2))+(ROUND((MAX(0,(0*Costeo!$B$130+0*Costeo!$C$130+0*Costeo!$D$130+$A100*Costeo!$E$130)+20*2*2*Costeo!$B$69+30*(1/3600*Costeo!$B$55+5/3600*Costeo!$B$56)-Costeo!$B$58)+IF(AND((0*Costeo!$B$120+0*Costeo!$C$120+0*Costeo!$D$120+$A100*Costeo!$E$120)&lt;=1000000,(0*Costeo!$B$119+0*Costeo!$C$119+0*Costeo!$D$119+$A100*Costeo!$E$119)&lt;=1000),0,IF((0*Costeo!$B$120+0*Costeo!$C$120+0*Costeo!$D$120+$A100*Costeo!$E$120)&lt;=10000000,20,IF((0*Costeo!$B$120+0*Costeo!$C$120+0*Costeo!$D$120+$A100*Costeo!$E$120)&lt;=50000000,100,300)))+MAX(0,ROUNDUP((0*Costeo!$B$36+0*Costeo!$C$36+0*Costeo!$D$36+$A100*Costeo!$E$36)/5000,0)-1)*Costeo!$B$62+IF((0*Costeo!$B$36+0*Costeo!$C$36+0*Costeo!$D$36+$A100*Costeo!$E$36)&gt;5000,32-Costeo!$B$61,0))*Costeo!$B$51,2))))&gt;=0),$A100,1000000000)</f>
        <v>1000000000</v>
      </c>
    </row>
    <row r="101" hidden="1" outlineLevel="1" ht="30" customHeight="1" s="61">
      <c r="A101" s="52" t="n">
        <v>50</v>
      </c>
      <c r="B101" s="121">
        <f>IF(AND($A101*Costeo!$B$36&lt;=10000,(($A101)*$D$9-$B$4-((ROUND((MAX(0,($A101*Costeo!$B$117+0*Costeo!$C$117+0*Costeo!$D$117+0*Costeo!$E$117)-100)*Costeo!$B$53+MAX(0,($A101*Costeo!$B$118+0*Costeo!$C$118+0*Costeo!$D$118+0*Costeo!$E$118)-250)*Costeo!$B$52+(MAX(0,ROUNDUP((($A101*Costeo!$B$116+0*Costeo!$C$116)+(0*Costeo!$D$116+0*Costeo!$E$116)*0.05)*2,0)-8)+($A101*Costeo!$B$131+0*Costeo!$C$131+0*Costeo!$D$131+0*Costeo!$E$131))*Costeo!$B$54+IF(($A101*Costeo!$B$36+0*Costeo!$C$36)&lt;=2000,10,IF(($A101*Costeo!$B$36+0*Costeo!$C$36)&lt;=5000,15,IF(($A101*Costeo!$B$36+0*Costeo!$C$36)&lt;=10000,60,110)))-10)*Costeo!$B$51,2))+(ROUND((MAX(0,($A101*Costeo!$B$130+0*Costeo!$C$130+0*Costeo!$D$130+0*Costeo!$E$130)+20*2*2*Costeo!$B$69+30*(1/3600*Costeo!$B$55+5/3600*Costeo!$B$56)-Costeo!$B$58)+IF(AND(($A101*Costeo!$B$120+0*Costeo!$C$120+0*Costeo!$D$120+0*Costeo!$E$120)&lt;=1000000,($A101*Costeo!$B$119+0*Costeo!$C$119+0*Costeo!$D$119+0*Costeo!$E$119)&lt;=1000),0,IF(($A101*Costeo!$B$120+0*Costeo!$C$120+0*Costeo!$D$120+0*Costeo!$E$120)&lt;=10000000,20,IF(($A101*Costeo!$B$120+0*Costeo!$C$120+0*Costeo!$D$120+0*Costeo!$E$120)&lt;=50000000,100,300)))+MAX(0,ROUNDUP(($A101*Costeo!$B$36+0*Costeo!$C$36+0*Costeo!$D$36+0*Costeo!$E$36)/5000,0)-1)*Costeo!$B$62+IF(($A101*Costeo!$B$36+0*Costeo!$C$36+0*Costeo!$D$36+0*Costeo!$E$36)&gt;5000,32-Costeo!$B$61,0))*Costeo!$B$51,2))))&gt;=0),$A101,1000000000)</f>
        <v>50</v>
      </c>
      <c r="C101" s="121">
        <f>IF(AND($A101*Costeo!$C$36&lt;=10000,(($A101)*$D$10-$B$4-((ROUND((MAX(0,(0*Costeo!$B$117+$A101*Costeo!$C$117+0*Costeo!$D$117+0*Costeo!$E$117)-100)*Costeo!$B$53+MAX(0,(0*Costeo!$B$118+$A101*Costeo!$C$118+0*Costeo!$D$118+0*Costeo!$E$118)-250)*Costeo!$B$52+(MAX(0,ROUNDUP(((0*Costeo!$B$116+$A101*Costeo!$C$116)+(0*Costeo!$D$116+0*Costeo!$E$116)*0.05)*2,0)-8)+(0*Costeo!$B$131+$A101*Costeo!$C$131+0*Costeo!$D$131+0*Costeo!$E$131))*Costeo!$B$54+IF((0*Costeo!$B$36+$A101*Costeo!$C$36)&lt;=2000,10,IF((0*Costeo!$B$36+$A101*Costeo!$C$36)&lt;=5000,15,IF((0*Costeo!$B$36+$A101*Costeo!$C$36)&lt;=10000,60,110)))-10)*Costeo!$B$51,2))+(ROUND((MAX(0,(0*Costeo!$B$130+$A101*Costeo!$C$130+0*Costeo!$D$130+0*Costeo!$E$130)+20*2*2*Costeo!$B$69+30*(1/3600*Costeo!$B$55+5/3600*Costeo!$B$56)-Costeo!$B$58)+IF(AND((0*Costeo!$B$120+$A101*Costeo!$C$120+0*Costeo!$D$120+0*Costeo!$E$120)&lt;=1000000,(0*Costeo!$B$119+$A101*Costeo!$C$119+0*Costeo!$D$119+0*Costeo!$E$119)&lt;=1000),0,IF((0*Costeo!$B$120+$A101*Costeo!$C$120+0*Costeo!$D$120+0*Costeo!$E$120)&lt;=10000000,20,IF((0*Costeo!$B$120+$A101*Costeo!$C$120+0*Costeo!$D$120+0*Costeo!$E$120)&lt;=50000000,100,300)))+MAX(0,ROUNDUP((0*Costeo!$B$36+$A101*Costeo!$C$36+0*Costeo!$D$36+0*Costeo!$E$36)/5000,0)-1)*Costeo!$B$62+IF((0*Costeo!$B$36+$A101*Costeo!$C$36+0*Costeo!$D$36+0*Costeo!$E$36)&gt;5000,32-Costeo!$B$61,0))*Costeo!$B$51,2))))&gt;=0),$A101,1000000000)</f>
        <v>50</v>
      </c>
      <c r="D101" s="121">
        <f>IF(AND($A101*Costeo!$D$36&lt;=10000,(($A101)*$D$11-$B$4-((ROUND((MAX(0,(0*Costeo!$B$117+0*Costeo!$C$117+$A101*Costeo!$D$117+0*Costeo!$E$117)-100)*Costeo!$B$53+MAX(0,(0*Costeo!$B$118+0*Costeo!$C$118+$A101*Costeo!$D$118+0*Costeo!$E$118)-250)*Costeo!$B$52+(MAX(0,ROUNDUP(((0*Costeo!$B$116+0*Costeo!$C$116)+($A101*Costeo!$D$116+0*Costeo!$E$116)*0.05)*2,0)-8)+(0*Costeo!$B$131+0*Costeo!$C$131+$A101*Costeo!$D$131+0*Costeo!$E$131))*Costeo!$B$54+IF((0*Costeo!$B$36+0*Costeo!$C$36)&lt;=2000,10,IF((0*Costeo!$B$36+0*Costeo!$C$36)&lt;=5000,15,IF((0*Costeo!$B$36+0*Costeo!$C$36)&lt;=10000,60,110)))-10)*Costeo!$B$51,2))+(ROUND((MAX(0,(0*Costeo!$B$130+0*Costeo!$C$130+$A101*Costeo!$D$130+0*Costeo!$E$130)+20*2*2*Costeo!$B$69+30*(1/3600*Costeo!$B$55+5/3600*Costeo!$B$56)-Costeo!$B$58)+IF(AND((0*Costeo!$B$120+0*Costeo!$C$120+$A101*Costeo!$D$120+0*Costeo!$E$120)&lt;=1000000,(0*Costeo!$B$119+0*Costeo!$C$119+$A101*Costeo!$D$119+0*Costeo!$E$119)&lt;=1000),0,IF((0*Costeo!$B$120+0*Costeo!$C$120+$A101*Costeo!$D$120+0*Costeo!$E$120)&lt;=10000000,20,IF((0*Costeo!$B$120+0*Costeo!$C$120+$A101*Costeo!$D$120+0*Costeo!$E$120)&lt;=50000000,100,300)))+MAX(0,ROUNDUP((0*Costeo!$B$36+0*Costeo!$C$36+$A101*Costeo!$D$36+0*Costeo!$E$36)/5000,0)-1)*Costeo!$B$62+IF((0*Costeo!$B$36+0*Costeo!$C$36+$A101*Costeo!$D$36+0*Costeo!$E$36)&gt;5000,32-Costeo!$B$61,0))*Costeo!$B$51,2))))&gt;=0),$A101,1000000000)</f>
        <v>1000000000</v>
      </c>
      <c r="E101" s="121">
        <f>IF(AND($A101*Costeo!$E$36&lt;=10000,(($A101)*$D$12-$B$4-((ROUND((MAX(0,(0*Costeo!$B$117+0*Costeo!$C$117+0*Costeo!$D$117+$A101*Costeo!$E$117)-100)*Costeo!$B$53+MAX(0,(0*Costeo!$B$118+0*Costeo!$C$118+0*Costeo!$D$118+$A101*Costeo!$E$118)-250)*Costeo!$B$52+(MAX(0,ROUNDUP(((0*Costeo!$B$116+0*Costeo!$C$116)+(0*Costeo!$D$116+$A101*Costeo!$E$116)*0.05)*2,0)-8)+(0*Costeo!$B$131+0*Costeo!$C$131+0*Costeo!$D$131+$A101*Costeo!$E$131))*Costeo!$B$54+IF((0*Costeo!$B$36+0*Costeo!$C$36)&lt;=2000,10,IF((0*Costeo!$B$36+0*Costeo!$C$36)&lt;=5000,15,IF((0*Costeo!$B$36+0*Costeo!$C$36)&lt;=10000,60,110)))-10)*Costeo!$B$51,2))+(ROUND((MAX(0,(0*Costeo!$B$130+0*Costeo!$C$130+0*Costeo!$D$130+$A101*Costeo!$E$130)+20*2*2*Costeo!$B$69+30*(1/3600*Costeo!$B$55+5/3600*Costeo!$B$56)-Costeo!$B$58)+IF(AND((0*Costeo!$B$120+0*Costeo!$C$120+0*Costeo!$D$120+$A101*Costeo!$E$120)&lt;=1000000,(0*Costeo!$B$119+0*Costeo!$C$119+0*Costeo!$D$119+$A101*Costeo!$E$119)&lt;=1000),0,IF((0*Costeo!$B$120+0*Costeo!$C$120+0*Costeo!$D$120+$A101*Costeo!$E$120)&lt;=10000000,20,IF((0*Costeo!$B$120+0*Costeo!$C$120+0*Costeo!$D$120+$A101*Costeo!$E$120)&lt;=50000000,100,300)))+MAX(0,ROUNDUP((0*Costeo!$B$36+0*Costeo!$C$36+0*Costeo!$D$36+$A101*Costeo!$E$36)/5000,0)-1)*Costeo!$B$62+IF((0*Costeo!$B$36+0*Costeo!$C$36+0*Costeo!$D$36+$A101*Costeo!$E$36)&gt;5000,32-Costeo!$B$61,0))*Costeo!$B$51,2))))&gt;=0),$A101,1000000000)</f>
        <v>1000000000</v>
      </c>
    </row>
    <row r="102" hidden="1" outlineLevel="1" ht="30" customHeight="1" s="61">
      <c r="A102" s="52" t="n">
        <v>51</v>
      </c>
      <c r="B102" s="121">
        <f>IF(AND($A102*Costeo!$B$36&lt;=10000,(($A102)*$D$9-$B$4-((ROUND((MAX(0,($A102*Costeo!$B$117+0*Costeo!$C$117+0*Costeo!$D$117+0*Costeo!$E$117)-100)*Costeo!$B$53+MAX(0,($A102*Costeo!$B$118+0*Costeo!$C$118+0*Costeo!$D$118+0*Costeo!$E$118)-250)*Costeo!$B$52+(MAX(0,ROUNDUP((($A102*Costeo!$B$116+0*Costeo!$C$116)+(0*Costeo!$D$116+0*Costeo!$E$116)*0.05)*2,0)-8)+($A102*Costeo!$B$131+0*Costeo!$C$131+0*Costeo!$D$131+0*Costeo!$E$131))*Costeo!$B$54+IF(($A102*Costeo!$B$36+0*Costeo!$C$36)&lt;=2000,10,IF(($A102*Costeo!$B$36+0*Costeo!$C$36)&lt;=5000,15,IF(($A102*Costeo!$B$36+0*Costeo!$C$36)&lt;=10000,60,110)))-10)*Costeo!$B$51,2))+(ROUND((MAX(0,($A102*Costeo!$B$130+0*Costeo!$C$130+0*Costeo!$D$130+0*Costeo!$E$130)+20*2*2*Costeo!$B$69+30*(1/3600*Costeo!$B$55+5/3600*Costeo!$B$56)-Costeo!$B$58)+IF(AND(($A102*Costeo!$B$120+0*Costeo!$C$120+0*Costeo!$D$120+0*Costeo!$E$120)&lt;=1000000,($A102*Costeo!$B$119+0*Costeo!$C$119+0*Costeo!$D$119+0*Costeo!$E$119)&lt;=1000),0,IF(($A102*Costeo!$B$120+0*Costeo!$C$120+0*Costeo!$D$120+0*Costeo!$E$120)&lt;=10000000,20,IF(($A102*Costeo!$B$120+0*Costeo!$C$120+0*Costeo!$D$120+0*Costeo!$E$120)&lt;=50000000,100,300)))+MAX(0,ROUNDUP(($A102*Costeo!$B$36+0*Costeo!$C$36+0*Costeo!$D$36+0*Costeo!$E$36)/5000,0)-1)*Costeo!$B$62+IF(($A102*Costeo!$B$36+0*Costeo!$C$36+0*Costeo!$D$36+0*Costeo!$E$36)&gt;5000,32-Costeo!$B$61,0))*Costeo!$B$51,2))))&gt;=0),$A102,1000000000)</f>
        <v>51</v>
      </c>
      <c r="C102" s="121">
        <f>IF(AND($A102*Costeo!$C$36&lt;=10000,(($A102)*$D$10-$B$4-((ROUND((MAX(0,(0*Costeo!$B$117+$A102*Costeo!$C$117+0*Costeo!$D$117+0*Costeo!$E$117)-100)*Costeo!$B$53+MAX(0,(0*Costeo!$B$118+$A102*Costeo!$C$118+0*Costeo!$D$118+0*Costeo!$E$118)-250)*Costeo!$B$52+(MAX(0,ROUNDUP(((0*Costeo!$B$116+$A102*Costeo!$C$116)+(0*Costeo!$D$116+0*Costeo!$E$116)*0.05)*2,0)-8)+(0*Costeo!$B$131+$A102*Costeo!$C$131+0*Costeo!$D$131+0*Costeo!$E$131))*Costeo!$B$54+IF((0*Costeo!$B$36+$A102*Costeo!$C$36)&lt;=2000,10,IF((0*Costeo!$B$36+$A102*Costeo!$C$36)&lt;=5000,15,IF((0*Costeo!$B$36+$A102*Costeo!$C$36)&lt;=10000,60,110)))-10)*Costeo!$B$51,2))+(ROUND((MAX(0,(0*Costeo!$B$130+$A102*Costeo!$C$130+0*Costeo!$D$130+0*Costeo!$E$130)+20*2*2*Costeo!$B$69+30*(1/3600*Costeo!$B$55+5/3600*Costeo!$B$56)-Costeo!$B$58)+IF(AND((0*Costeo!$B$120+$A102*Costeo!$C$120+0*Costeo!$D$120+0*Costeo!$E$120)&lt;=1000000,(0*Costeo!$B$119+$A102*Costeo!$C$119+0*Costeo!$D$119+0*Costeo!$E$119)&lt;=1000),0,IF((0*Costeo!$B$120+$A102*Costeo!$C$120+0*Costeo!$D$120+0*Costeo!$E$120)&lt;=10000000,20,IF((0*Costeo!$B$120+$A102*Costeo!$C$120+0*Costeo!$D$120+0*Costeo!$E$120)&lt;=50000000,100,300)))+MAX(0,ROUNDUP((0*Costeo!$B$36+$A102*Costeo!$C$36+0*Costeo!$D$36+0*Costeo!$E$36)/5000,0)-1)*Costeo!$B$62+IF((0*Costeo!$B$36+$A102*Costeo!$C$36+0*Costeo!$D$36+0*Costeo!$E$36)&gt;5000,32-Costeo!$B$61,0))*Costeo!$B$51,2))))&gt;=0),$A102,1000000000)</f>
        <v>1000000000</v>
      </c>
      <c r="D102" s="121">
        <f>IF(AND($A102*Costeo!$D$36&lt;=10000,(($A102)*$D$11-$B$4-((ROUND((MAX(0,(0*Costeo!$B$117+0*Costeo!$C$117+$A102*Costeo!$D$117+0*Costeo!$E$117)-100)*Costeo!$B$53+MAX(0,(0*Costeo!$B$118+0*Costeo!$C$118+$A102*Costeo!$D$118+0*Costeo!$E$118)-250)*Costeo!$B$52+(MAX(0,ROUNDUP(((0*Costeo!$B$116+0*Costeo!$C$116)+($A102*Costeo!$D$116+0*Costeo!$E$116)*0.05)*2,0)-8)+(0*Costeo!$B$131+0*Costeo!$C$131+$A102*Costeo!$D$131+0*Costeo!$E$131))*Costeo!$B$54+IF((0*Costeo!$B$36+0*Costeo!$C$36)&lt;=2000,10,IF((0*Costeo!$B$36+0*Costeo!$C$36)&lt;=5000,15,IF((0*Costeo!$B$36+0*Costeo!$C$36)&lt;=10000,60,110)))-10)*Costeo!$B$51,2))+(ROUND((MAX(0,(0*Costeo!$B$130+0*Costeo!$C$130+$A102*Costeo!$D$130+0*Costeo!$E$130)+20*2*2*Costeo!$B$69+30*(1/3600*Costeo!$B$55+5/3600*Costeo!$B$56)-Costeo!$B$58)+IF(AND((0*Costeo!$B$120+0*Costeo!$C$120+$A102*Costeo!$D$120+0*Costeo!$E$120)&lt;=1000000,(0*Costeo!$B$119+0*Costeo!$C$119+$A102*Costeo!$D$119+0*Costeo!$E$119)&lt;=1000),0,IF((0*Costeo!$B$120+0*Costeo!$C$120+$A102*Costeo!$D$120+0*Costeo!$E$120)&lt;=10000000,20,IF((0*Costeo!$B$120+0*Costeo!$C$120+$A102*Costeo!$D$120+0*Costeo!$E$120)&lt;=50000000,100,300)))+MAX(0,ROUNDUP((0*Costeo!$B$36+0*Costeo!$C$36+$A102*Costeo!$D$36+0*Costeo!$E$36)/5000,0)-1)*Costeo!$B$62+IF((0*Costeo!$B$36+0*Costeo!$C$36+$A102*Costeo!$D$36+0*Costeo!$E$36)&gt;5000,32-Costeo!$B$61,0))*Costeo!$B$51,2))))&gt;=0),$A102,1000000000)</f>
        <v>1000000000</v>
      </c>
      <c r="E102" s="121">
        <f>IF(AND($A102*Costeo!$E$36&lt;=10000,(($A102)*$D$12-$B$4-((ROUND((MAX(0,(0*Costeo!$B$117+0*Costeo!$C$117+0*Costeo!$D$117+$A102*Costeo!$E$117)-100)*Costeo!$B$53+MAX(0,(0*Costeo!$B$118+0*Costeo!$C$118+0*Costeo!$D$118+$A102*Costeo!$E$118)-250)*Costeo!$B$52+(MAX(0,ROUNDUP(((0*Costeo!$B$116+0*Costeo!$C$116)+(0*Costeo!$D$116+$A102*Costeo!$E$116)*0.05)*2,0)-8)+(0*Costeo!$B$131+0*Costeo!$C$131+0*Costeo!$D$131+$A102*Costeo!$E$131))*Costeo!$B$54+IF((0*Costeo!$B$36+0*Costeo!$C$36)&lt;=2000,10,IF((0*Costeo!$B$36+0*Costeo!$C$36)&lt;=5000,15,IF((0*Costeo!$B$36+0*Costeo!$C$36)&lt;=10000,60,110)))-10)*Costeo!$B$51,2))+(ROUND((MAX(0,(0*Costeo!$B$130+0*Costeo!$C$130+0*Costeo!$D$130+$A102*Costeo!$E$130)+20*2*2*Costeo!$B$69+30*(1/3600*Costeo!$B$55+5/3600*Costeo!$B$56)-Costeo!$B$58)+IF(AND((0*Costeo!$B$120+0*Costeo!$C$120+0*Costeo!$D$120+$A102*Costeo!$E$120)&lt;=1000000,(0*Costeo!$B$119+0*Costeo!$C$119+0*Costeo!$D$119+$A102*Costeo!$E$119)&lt;=1000),0,IF((0*Costeo!$B$120+0*Costeo!$C$120+0*Costeo!$D$120+$A102*Costeo!$E$120)&lt;=10000000,20,IF((0*Costeo!$B$120+0*Costeo!$C$120+0*Costeo!$D$120+$A102*Costeo!$E$120)&lt;=50000000,100,300)))+MAX(0,ROUNDUP((0*Costeo!$B$36+0*Costeo!$C$36+0*Costeo!$D$36+$A102*Costeo!$E$36)/5000,0)-1)*Costeo!$B$62+IF((0*Costeo!$B$36+0*Costeo!$C$36+0*Costeo!$D$36+$A102*Costeo!$E$36)&gt;5000,32-Costeo!$B$61,0))*Costeo!$B$51,2))))&gt;=0),$A102,1000000000)</f>
        <v>1000000000</v>
      </c>
    </row>
    <row r="103" hidden="1" outlineLevel="1" ht="30" customHeight="1" s="61">
      <c r="A103" s="52" t="n">
        <v>52</v>
      </c>
      <c r="B103" s="121">
        <f>IF(AND($A103*Costeo!$B$36&lt;=10000,(($A103)*$D$9-$B$4-((ROUND((MAX(0,($A103*Costeo!$B$117+0*Costeo!$C$117+0*Costeo!$D$117+0*Costeo!$E$117)-100)*Costeo!$B$53+MAX(0,($A103*Costeo!$B$118+0*Costeo!$C$118+0*Costeo!$D$118+0*Costeo!$E$118)-250)*Costeo!$B$52+(MAX(0,ROUNDUP((($A103*Costeo!$B$116+0*Costeo!$C$116)+(0*Costeo!$D$116+0*Costeo!$E$116)*0.05)*2,0)-8)+($A103*Costeo!$B$131+0*Costeo!$C$131+0*Costeo!$D$131+0*Costeo!$E$131))*Costeo!$B$54+IF(($A103*Costeo!$B$36+0*Costeo!$C$36)&lt;=2000,10,IF(($A103*Costeo!$B$36+0*Costeo!$C$36)&lt;=5000,15,IF(($A103*Costeo!$B$36+0*Costeo!$C$36)&lt;=10000,60,110)))-10)*Costeo!$B$51,2))+(ROUND((MAX(0,($A103*Costeo!$B$130+0*Costeo!$C$130+0*Costeo!$D$130+0*Costeo!$E$130)+20*2*2*Costeo!$B$69+30*(1/3600*Costeo!$B$55+5/3600*Costeo!$B$56)-Costeo!$B$58)+IF(AND(($A103*Costeo!$B$120+0*Costeo!$C$120+0*Costeo!$D$120+0*Costeo!$E$120)&lt;=1000000,($A103*Costeo!$B$119+0*Costeo!$C$119+0*Costeo!$D$119+0*Costeo!$E$119)&lt;=1000),0,IF(($A103*Costeo!$B$120+0*Costeo!$C$120+0*Costeo!$D$120+0*Costeo!$E$120)&lt;=10000000,20,IF(($A103*Costeo!$B$120+0*Costeo!$C$120+0*Costeo!$D$120+0*Costeo!$E$120)&lt;=50000000,100,300)))+MAX(0,ROUNDUP(($A103*Costeo!$B$36+0*Costeo!$C$36+0*Costeo!$D$36+0*Costeo!$E$36)/5000,0)-1)*Costeo!$B$62+IF(($A103*Costeo!$B$36+0*Costeo!$C$36+0*Costeo!$D$36+0*Costeo!$E$36)&gt;5000,32-Costeo!$B$61,0))*Costeo!$B$51,2))))&gt;=0),$A103,1000000000)</f>
        <v>52</v>
      </c>
      <c r="C103" s="121">
        <f>IF(AND($A103*Costeo!$C$36&lt;=10000,(($A103)*$D$10-$B$4-((ROUND((MAX(0,(0*Costeo!$B$117+$A103*Costeo!$C$117+0*Costeo!$D$117+0*Costeo!$E$117)-100)*Costeo!$B$53+MAX(0,(0*Costeo!$B$118+$A103*Costeo!$C$118+0*Costeo!$D$118+0*Costeo!$E$118)-250)*Costeo!$B$52+(MAX(0,ROUNDUP(((0*Costeo!$B$116+$A103*Costeo!$C$116)+(0*Costeo!$D$116+0*Costeo!$E$116)*0.05)*2,0)-8)+(0*Costeo!$B$131+$A103*Costeo!$C$131+0*Costeo!$D$131+0*Costeo!$E$131))*Costeo!$B$54+IF((0*Costeo!$B$36+$A103*Costeo!$C$36)&lt;=2000,10,IF((0*Costeo!$B$36+$A103*Costeo!$C$36)&lt;=5000,15,IF((0*Costeo!$B$36+$A103*Costeo!$C$36)&lt;=10000,60,110)))-10)*Costeo!$B$51,2))+(ROUND((MAX(0,(0*Costeo!$B$130+$A103*Costeo!$C$130+0*Costeo!$D$130+0*Costeo!$E$130)+20*2*2*Costeo!$B$69+30*(1/3600*Costeo!$B$55+5/3600*Costeo!$B$56)-Costeo!$B$58)+IF(AND((0*Costeo!$B$120+$A103*Costeo!$C$120+0*Costeo!$D$120+0*Costeo!$E$120)&lt;=1000000,(0*Costeo!$B$119+$A103*Costeo!$C$119+0*Costeo!$D$119+0*Costeo!$E$119)&lt;=1000),0,IF((0*Costeo!$B$120+$A103*Costeo!$C$120+0*Costeo!$D$120+0*Costeo!$E$120)&lt;=10000000,20,IF((0*Costeo!$B$120+$A103*Costeo!$C$120+0*Costeo!$D$120+0*Costeo!$E$120)&lt;=50000000,100,300)))+MAX(0,ROUNDUP((0*Costeo!$B$36+$A103*Costeo!$C$36+0*Costeo!$D$36+0*Costeo!$E$36)/5000,0)-1)*Costeo!$B$62+IF((0*Costeo!$B$36+$A103*Costeo!$C$36+0*Costeo!$D$36+0*Costeo!$E$36)&gt;5000,32-Costeo!$B$61,0))*Costeo!$B$51,2))))&gt;=0),$A103,1000000000)</f>
        <v>1000000000</v>
      </c>
      <c r="D103" s="121">
        <f>IF(AND($A103*Costeo!$D$36&lt;=10000,(($A103)*$D$11-$B$4-((ROUND((MAX(0,(0*Costeo!$B$117+0*Costeo!$C$117+$A103*Costeo!$D$117+0*Costeo!$E$117)-100)*Costeo!$B$53+MAX(0,(0*Costeo!$B$118+0*Costeo!$C$118+$A103*Costeo!$D$118+0*Costeo!$E$118)-250)*Costeo!$B$52+(MAX(0,ROUNDUP(((0*Costeo!$B$116+0*Costeo!$C$116)+($A103*Costeo!$D$116+0*Costeo!$E$116)*0.05)*2,0)-8)+(0*Costeo!$B$131+0*Costeo!$C$131+$A103*Costeo!$D$131+0*Costeo!$E$131))*Costeo!$B$54+IF((0*Costeo!$B$36+0*Costeo!$C$36)&lt;=2000,10,IF((0*Costeo!$B$36+0*Costeo!$C$36)&lt;=5000,15,IF((0*Costeo!$B$36+0*Costeo!$C$36)&lt;=10000,60,110)))-10)*Costeo!$B$51,2))+(ROUND((MAX(0,(0*Costeo!$B$130+0*Costeo!$C$130+$A103*Costeo!$D$130+0*Costeo!$E$130)+20*2*2*Costeo!$B$69+30*(1/3600*Costeo!$B$55+5/3600*Costeo!$B$56)-Costeo!$B$58)+IF(AND((0*Costeo!$B$120+0*Costeo!$C$120+$A103*Costeo!$D$120+0*Costeo!$E$120)&lt;=1000000,(0*Costeo!$B$119+0*Costeo!$C$119+$A103*Costeo!$D$119+0*Costeo!$E$119)&lt;=1000),0,IF((0*Costeo!$B$120+0*Costeo!$C$120+$A103*Costeo!$D$120+0*Costeo!$E$120)&lt;=10000000,20,IF((0*Costeo!$B$120+0*Costeo!$C$120+$A103*Costeo!$D$120+0*Costeo!$E$120)&lt;=50000000,100,300)))+MAX(0,ROUNDUP((0*Costeo!$B$36+0*Costeo!$C$36+$A103*Costeo!$D$36+0*Costeo!$E$36)/5000,0)-1)*Costeo!$B$62+IF((0*Costeo!$B$36+0*Costeo!$C$36+$A103*Costeo!$D$36+0*Costeo!$E$36)&gt;5000,32-Costeo!$B$61,0))*Costeo!$B$51,2))))&gt;=0),$A103,1000000000)</f>
        <v>1000000000</v>
      </c>
      <c r="E103" s="121">
        <f>IF(AND($A103*Costeo!$E$36&lt;=10000,(($A103)*$D$12-$B$4-((ROUND((MAX(0,(0*Costeo!$B$117+0*Costeo!$C$117+0*Costeo!$D$117+$A103*Costeo!$E$117)-100)*Costeo!$B$53+MAX(0,(0*Costeo!$B$118+0*Costeo!$C$118+0*Costeo!$D$118+$A103*Costeo!$E$118)-250)*Costeo!$B$52+(MAX(0,ROUNDUP(((0*Costeo!$B$116+0*Costeo!$C$116)+(0*Costeo!$D$116+$A103*Costeo!$E$116)*0.05)*2,0)-8)+(0*Costeo!$B$131+0*Costeo!$C$131+0*Costeo!$D$131+$A103*Costeo!$E$131))*Costeo!$B$54+IF((0*Costeo!$B$36+0*Costeo!$C$36)&lt;=2000,10,IF((0*Costeo!$B$36+0*Costeo!$C$36)&lt;=5000,15,IF((0*Costeo!$B$36+0*Costeo!$C$36)&lt;=10000,60,110)))-10)*Costeo!$B$51,2))+(ROUND((MAX(0,(0*Costeo!$B$130+0*Costeo!$C$130+0*Costeo!$D$130+$A103*Costeo!$E$130)+20*2*2*Costeo!$B$69+30*(1/3600*Costeo!$B$55+5/3600*Costeo!$B$56)-Costeo!$B$58)+IF(AND((0*Costeo!$B$120+0*Costeo!$C$120+0*Costeo!$D$120+$A103*Costeo!$E$120)&lt;=1000000,(0*Costeo!$B$119+0*Costeo!$C$119+0*Costeo!$D$119+$A103*Costeo!$E$119)&lt;=1000),0,IF((0*Costeo!$B$120+0*Costeo!$C$120+0*Costeo!$D$120+$A103*Costeo!$E$120)&lt;=10000000,20,IF((0*Costeo!$B$120+0*Costeo!$C$120+0*Costeo!$D$120+$A103*Costeo!$E$120)&lt;=50000000,100,300)))+MAX(0,ROUNDUP((0*Costeo!$B$36+0*Costeo!$C$36+0*Costeo!$D$36+$A103*Costeo!$E$36)/5000,0)-1)*Costeo!$B$62+IF((0*Costeo!$B$36+0*Costeo!$C$36+0*Costeo!$D$36+$A103*Costeo!$E$36)&gt;5000,32-Costeo!$B$61,0))*Costeo!$B$51,2))))&gt;=0),$A103,1000000000)</f>
        <v>1000000000</v>
      </c>
    </row>
    <row r="104" hidden="1" outlineLevel="1" ht="30" customHeight="1" s="61">
      <c r="A104" s="52" t="n">
        <v>53</v>
      </c>
      <c r="B104" s="121">
        <f>IF(AND($A104*Costeo!$B$36&lt;=10000,(($A104)*$D$9-$B$4-((ROUND((MAX(0,($A104*Costeo!$B$117+0*Costeo!$C$117+0*Costeo!$D$117+0*Costeo!$E$117)-100)*Costeo!$B$53+MAX(0,($A104*Costeo!$B$118+0*Costeo!$C$118+0*Costeo!$D$118+0*Costeo!$E$118)-250)*Costeo!$B$52+(MAX(0,ROUNDUP((($A104*Costeo!$B$116+0*Costeo!$C$116)+(0*Costeo!$D$116+0*Costeo!$E$116)*0.05)*2,0)-8)+($A104*Costeo!$B$131+0*Costeo!$C$131+0*Costeo!$D$131+0*Costeo!$E$131))*Costeo!$B$54+IF(($A104*Costeo!$B$36+0*Costeo!$C$36)&lt;=2000,10,IF(($A104*Costeo!$B$36+0*Costeo!$C$36)&lt;=5000,15,IF(($A104*Costeo!$B$36+0*Costeo!$C$36)&lt;=10000,60,110)))-10)*Costeo!$B$51,2))+(ROUND((MAX(0,($A104*Costeo!$B$130+0*Costeo!$C$130+0*Costeo!$D$130+0*Costeo!$E$130)+20*2*2*Costeo!$B$69+30*(1/3600*Costeo!$B$55+5/3600*Costeo!$B$56)-Costeo!$B$58)+IF(AND(($A104*Costeo!$B$120+0*Costeo!$C$120+0*Costeo!$D$120+0*Costeo!$E$120)&lt;=1000000,($A104*Costeo!$B$119+0*Costeo!$C$119+0*Costeo!$D$119+0*Costeo!$E$119)&lt;=1000),0,IF(($A104*Costeo!$B$120+0*Costeo!$C$120+0*Costeo!$D$120+0*Costeo!$E$120)&lt;=10000000,20,IF(($A104*Costeo!$B$120+0*Costeo!$C$120+0*Costeo!$D$120+0*Costeo!$E$120)&lt;=50000000,100,300)))+MAX(0,ROUNDUP(($A104*Costeo!$B$36+0*Costeo!$C$36+0*Costeo!$D$36+0*Costeo!$E$36)/5000,0)-1)*Costeo!$B$62+IF(($A104*Costeo!$B$36+0*Costeo!$C$36+0*Costeo!$D$36+0*Costeo!$E$36)&gt;5000,32-Costeo!$B$61,0))*Costeo!$B$51,2))))&gt;=0),$A104,1000000000)</f>
        <v>53</v>
      </c>
      <c r="C104" s="121">
        <f>IF(AND($A104*Costeo!$C$36&lt;=10000,(($A104)*$D$10-$B$4-((ROUND((MAX(0,(0*Costeo!$B$117+$A104*Costeo!$C$117+0*Costeo!$D$117+0*Costeo!$E$117)-100)*Costeo!$B$53+MAX(0,(0*Costeo!$B$118+$A104*Costeo!$C$118+0*Costeo!$D$118+0*Costeo!$E$118)-250)*Costeo!$B$52+(MAX(0,ROUNDUP(((0*Costeo!$B$116+$A104*Costeo!$C$116)+(0*Costeo!$D$116+0*Costeo!$E$116)*0.05)*2,0)-8)+(0*Costeo!$B$131+$A104*Costeo!$C$131+0*Costeo!$D$131+0*Costeo!$E$131))*Costeo!$B$54+IF((0*Costeo!$B$36+$A104*Costeo!$C$36)&lt;=2000,10,IF((0*Costeo!$B$36+$A104*Costeo!$C$36)&lt;=5000,15,IF((0*Costeo!$B$36+$A104*Costeo!$C$36)&lt;=10000,60,110)))-10)*Costeo!$B$51,2))+(ROUND((MAX(0,(0*Costeo!$B$130+$A104*Costeo!$C$130+0*Costeo!$D$130+0*Costeo!$E$130)+20*2*2*Costeo!$B$69+30*(1/3600*Costeo!$B$55+5/3600*Costeo!$B$56)-Costeo!$B$58)+IF(AND((0*Costeo!$B$120+$A104*Costeo!$C$120+0*Costeo!$D$120+0*Costeo!$E$120)&lt;=1000000,(0*Costeo!$B$119+$A104*Costeo!$C$119+0*Costeo!$D$119+0*Costeo!$E$119)&lt;=1000),0,IF((0*Costeo!$B$120+$A104*Costeo!$C$120+0*Costeo!$D$120+0*Costeo!$E$120)&lt;=10000000,20,IF((0*Costeo!$B$120+$A104*Costeo!$C$120+0*Costeo!$D$120+0*Costeo!$E$120)&lt;=50000000,100,300)))+MAX(0,ROUNDUP((0*Costeo!$B$36+$A104*Costeo!$C$36+0*Costeo!$D$36+0*Costeo!$E$36)/5000,0)-1)*Costeo!$B$62+IF((0*Costeo!$B$36+$A104*Costeo!$C$36+0*Costeo!$D$36+0*Costeo!$E$36)&gt;5000,32-Costeo!$B$61,0))*Costeo!$B$51,2))))&gt;=0),$A104,1000000000)</f>
        <v>1000000000</v>
      </c>
      <c r="D104" s="121">
        <f>IF(AND($A104*Costeo!$D$36&lt;=10000,(($A104)*$D$11-$B$4-((ROUND((MAX(0,(0*Costeo!$B$117+0*Costeo!$C$117+$A104*Costeo!$D$117+0*Costeo!$E$117)-100)*Costeo!$B$53+MAX(0,(0*Costeo!$B$118+0*Costeo!$C$118+$A104*Costeo!$D$118+0*Costeo!$E$118)-250)*Costeo!$B$52+(MAX(0,ROUNDUP(((0*Costeo!$B$116+0*Costeo!$C$116)+($A104*Costeo!$D$116+0*Costeo!$E$116)*0.05)*2,0)-8)+(0*Costeo!$B$131+0*Costeo!$C$131+$A104*Costeo!$D$131+0*Costeo!$E$131))*Costeo!$B$54+IF((0*Costeo!$B$36+0*Costeo!$C$36)&lt;=2000,10,IF((0*Costeo!$B$36+0*Costeo!$C$36)&lt;=5000,15,IF((0*Costeo!$B$36+0*Costeo!$C$36)&lt;=10000,60,110)))-10)*Costeo!$B$51,2))+(ROUND((MAX(0,(0*Costeo!$B$130+0*Costeo!$C$130+$A104*Costeo!$D$130+0*Costeo!$E$130)+20*2*2*Costeo!$B$69+30*(1/3600*Costeo!$B$55+5/3600*Costeo!$B$56)-Costeo!$B$58)+IF(AND((0*Costeo!$B$120+0*Costeo!$C$120+$A104*Costeo!$D$120+0*Costeo!$E$120)&lt;=1000000,(0*Costeo!$B$119+0*Costeo!$C$119+$A104*Costeo!$D$119+0*Costeo!$E$119)&lt;=1000),0,IF((0*Costeo!$B$120+0*Costeo!$C$120+$A104*Costeo!$D$120+0*Costeo!$E$120)&lt;=10000000,20,IF((0*Costeo!$B$120+0*Costeo!$C$120+$A104*Costeo!$D$120+0*Costeo!$E$120)&lt;=50000000,100,300)))+MAX(0,ROUNDUP((0*Costeo!$B$36+0*Costeo!$C$36+$A104*Costeo!$D$36+0*Costeo!$E$36)/5000,0)-1)*Costeo!$B$62+IF((0*Costeo!$B$36+0*Costeo!$C$36+$A104*Costeo!$D$36+0*Costeo!$E$36)&gt;5000,32-Costeo!$B$61,0))*Costeo!$B$51,2))))&gt;=0),$A104,1000000000)</f>
        <v>1000000000</v>
      </c>
      <c r="E104" s="121">
        <f>IF(AND($A104*Costeo!$E$36&lt;=10000,(($A104)*$D$12-$B$4-((ROUND((MAX(0,(0*Costeo!$B$117+0*Costeo!$C$117+0*Costeo!$D$117+$A104*Costeo!$E$117)-100)*Costeo!$B$53+MAX(0,(0*Costeo!$B$118+0*Costeo!$C$118+0*Costeo!$D$118+$A104*Costeo!$E$118)-250)*Costeo!$B$52+(MAX(0,ROUNDUP(((0*Costeo!$B$116+0*Costeo!$C$116)+(0*Costeo!$D$116+$A104*Costeo!$E$116)*0.05)*2,0)-8)+(0*Costeo!$B$131+0*Costeo!$C$131+0*Costeo!$D$131+$A104*Costeo!$E$131))*Costeo!$B$54+IF((0*Costeo!$B$36+0*Costeo!$C$36)&lt;=2000,10,IF((0*Costeo!$B$36+0*Costeo!$C$36)&lt;=5000,15,IF((0*Costeo!$B$36+0*Costeo!$C$36)&lt;=10000,60,110)))-10)*Costeo!$B$51,2))+(ROUND((MAX(0,(0*Costeo!$B$130+0*Costeo!$C$130+0*Costeo!$D$130+$A104*Costeo!$E$130)+20*2*2*Costeo!$B$69+30*(1/3600*Costeo!$B$55+5/3600*Costeo!$B$56)-Costeo!$B$58)+IF(AND((0*Costeo!$B$120+0*Costeo!$C$120+0*Costeo!$D$120+$A104*Costeo!$E$120)&lt;=1000000,(0*Costeo!$B$119+0*Costeo!$C$119+0*Costeo!$D$119+$A104*Costeo!$E$119)&lt;=1000),0,IF((0*Costeo!$B$120+0*Costeo!$C$120+0*Costeo!$D$120+$A104*Costeo!$E$120)&lt;=10000000,20,IF((0*Costeo!$B$120+0*Costeo!$C$120+0*Costeo!$D$120+$A104*Costeo!$E$120)&lt;=50000000,100,300)))+MAX(0,ROUNDUP((0*Costeo!$B$36+0*Costeo!$C$36+0*Costeo!$D$36+$A104*Costeo!$E$36)/5000,0)-1)*Costeo!$B$62+IF((0*Costeo!$B$36+0*Costeo!$C$36+0*Costeo!$D$36+$A104*Costeo!$E$36)&gt;5000,32-Costeo!$B$61,0))*Costeo!$B$51,2))))&gt;=0),$A104,1000000000)</f>
        <v>1000000000</v>
      </c>
    </row>
    <row r="105" hidden="1" outlineLevel="1" ht="30" customHeight="1" s="61">
      <c r="A105" s="52" t="n">
        <v>54</v>
      </c>
      <c r="B105" s="121">
        <f>IF(AND($A105*Costeo!$B$36&lt;=10000,(($A105)*$D$9-$B$4-((ROUND((MAX(0,($A105*Costeo!$B$117+0*Costeo!$C$117+0*Costeo!$D$117+0*Costeo!$E$117)-100)*Costeo!$B$53+MAX(0,($A105*Costeo!$B$118+0*Costeo!$C$118+0*Costeo!$D$118+0*Costeo!$E$118)-250)*Costeo!$B$52+(MAX(0,ROUNDUP((($A105*Costeo!$B$116+0*Costeo!$C$116)+(0*Costeo!$D$116+0*Costeo!$E$116)*0.05)*2,0)-8)+($A105*Costeo!$B$131+0*Costeo!$C$131+0*Costeo!$D$131+0*Costeo!$E$131))*Costeo!$B$54+IF(($A105*Costeo!$B$36+0*Costeo!$C$36)&lt;=2000,10,IF(($A105*Costeo!$B$36+0*Costeo!$C$36)&lt;=5000,15,IF(($A105*Costeo!$B$36+0*Costeo!$C$36)&lt;=10000,60,110)))-10)*Costeo!$B$51,2))+(ROUND((MAX(0,($A105*Costeo!$B$130+0*Costeo!$C$130+0*Costeo!$D$130+0*Costeo!$E$130)+20*2*2*Costeo!$B$69+30*(1/3600*Costeo!$B$55+5/3600*Costeo!$B$56)-Costeo!$B$58)+IF(AND(($A105*Costeo!$B$120+0*Costeo!$C$120+0*Costeo!$D$120+0*Costeo!$E$120)&lt;=1000000,($A105*Costeo!$B$119+0*Costeo!$C$119+0*Costeo!$D$119+0*Costeo!$E$119)&lt;=1000),0,IF(($A105*Costeo!$B$120+0*Costeo!$C$120+0*Costeo!$D$120+0*Costeo!$E$120)&lt;=10000000,20,IF(($A105*Costeo!$B$120+0*Costeo!$C$120+0*Costeo!$D$120+0*Costeo!$E$120)&lt;=50000000,100,300)))+MAX(0,ROUNDUP(($A105*Costeo!$B$36+0*Costeo!$C$36+0*Costeo!$D$36+0*Costeo!$E$36)/5000,0)-1)*Costeo!$B$62+IF(($A105*Costeo!$B$36+0*Costeo!$C$36+0*Costeo!$D$36+0*Costeo!$E$36)&gt;5000,32-Costeo!$B$61,0))*Costeo!$B$51,2))))&gt;=0),$A105,1000000000)</f>
        <v>54</v>
      </c>
      <c r="C105" s="121">
        <f>IF(AND($A105*Costeo!$C$36&lt;=10000,(($A105)*$D$10-$B$4-((ROUND((MAX(0,(0*Costeo!$B$117+$A105*Costeo!$C$117+0*Costeo!$D$117+0*Costeo!$E$117)-100)*Costeo!$B$53+MAX(0,(0*Costeo!$B$118+$A105*Costeo!$C$118+0*Costeo!$D$118+0*Costeo!$E$118)-250)*Costeo!$B$52+(MAX(0,ROUNDUP(((0*Costeo!$B$116+$A105*Costeo!$C$116)+(0*Costeo!$D$116+0*Costeo!$E$116)*0.05)*2,0)-8)+(0*Costeo!$B$131+$A105*Costeo!$C$131+0*Costeo!$D$131+0*Costeo!$E$131))*Costeo!$B$54+IF((0*Costeo!$B$36+$A105*Costeo!$C$36)&lt;=2000,10,IF((0*Costeo!$B$36+$A105*Costeo!$C$36)&lt;=5000,15,IF((0*Costeo!$B$36+$A105*Costeo!$C$36)&lt;=10000,60,110)))-10)*Costeo!$B$51,2))+(ROUND((MAX(0,(0*Costeo!$B$130+$A105*Costeo!$C$130+0*Costeo!$D$130+0*Costeo!$E$130)+20*2*2*Costeo!$B$69+30*(1/3600*Costeo!$B$55+5/3600*Costeo!$B$56)-Costeo!$B$58)+IF(AND((0*Costeo!$B$120+$A105*Costeo!$C$120+0*Costeo!$D$120+0*Costeo!$E$120)&lt;=1000000,(0*Costeo!$B$119+$A105*Costeo!$C$119+0*Costeo!$D$119+0*Costeo!$E$119)&lt;=1000),0,IF((0*Costeo!$B$120+$A105*Costeo!$C$120+0*Costeo!$D$120+0*Costeo!$E$120)&lt;=10000000,20,IF((0*Costeo!$B$120+$A105*Costeo!$C$120+0*Costeo!$D$120+0*Costeo!$E$120)&lt;=50000000,100,300)))+MAX(0,ROUNDUP((0*Costeo!$B$36+$A105*Costeo!$C$36+0*Costeo!$D$36+0*Costeo!$E$36)/5000,0)-1)*Costeo!$B$62+IF((0*Costeo!$B$36+$A105*Costeo!$C$36+0*Costeo!$D$36+0*Costeo!$E$36)&gt;5000,32-Costeo!$B$61,0))*Costeo!$B$51,2))))&gt;=0),$A105,1000000000)</f>
        <v>1000000000</v>
      </c>
      <c r="D105" s="121">
        <f>IF(AND($A105*Costeo!$D$36&lt;=10000,(($A105)*$D$11-$B$4-((ROUND((MAX(0,(0*Costeo!$B$117+0*Costeo!$C$117+$A105*Costeo!$D$117+0*Costeo!$E$117)-100)*Costeo!$B$53+MAX(0,(0*Costeo!$B$118+0*Costeo!$C$118+$A105*Costeo!$D$118+0*Costeo!$E$118)-250)*Costeo!$B$52+(MAX(0,ROUNDUP(((0*Costeo!$B$116+0*Costeo!$C$116)+($A105*Costeo!$D$116+0*Costeo!$E$116)*0.05)*2,0)-8)+(0*Costeo!$B$131+0*Costeo!$C$131+$A105*Costeo!$D$131+0*Costeo!$E$131))*Costeo!$B$54+IF((0*Costeo!$B$36+0*Costeo!$C$36)&lt;=2000,10,IF((0*Costeo!$B$36+0*Costeo!$C$36)&lt;=5000,15,IF((0*Costeo!$B$36+0*Costeo!$C$36)&lt;=10000,60,110)))-10)*Costeo!$B$51,2))+(ROUND((MAX(0,(0*Costeo!$B$130+0*Costeo!$C$130+$A105*Costeo!$D$130+0*Costeo!$E$130)+20*2*2*Costeo!$B$69+30*(1/3600*Costeo!$B$55+5/3600*Costeo!$B$56)-Costeo!$B$58)+IF(AND((0*Costeo!$B$120+0*Costeo!$C$120+$A105*Costeo!$D$120+0*Costeo!$E$120)&lt;=1000000,(0*Costeo!$B$119+0*Costeo!$C$119+$A105*Costeo!$D$119+0*Costeo!$E$119)&lt;=1000),0,IF((0*Costeo!$B$120+0*Costeo!$C$120+$A105*Costeo!$D$120+0*Costeo!$E$120)&lt;=10000000,20,IF((0*Costeo!$B$120+0*Costeo!$C$120+$A105*Costeo!$D$120+0*Costeo!$E$120)&lt;=50000000,100,300)))+MAX(0,ROUNDUP((0*Costeo!$B$36+0*Costeo!$C$36+$A105*Costeo!$D$36+0*Costeo!$E$36)/5000,0)-1)*Costeo!$B$62+IF((0*Costeo!$B$36+0*Costeo!$C$36+$A105*Costeo!$D$36+0*Costeo!$E$36)&gt;5000,32-Costeo!$B$61,0))*Costeo!$B$51,2))))&gt;=0),$A105,1000000000)</f>
        <v>1000000000</v>
      </c>
      <c r="E105" s="121">
        <f>IF(AND($A105*Costeo!$E$36&lt;=10000,(($A105)*$D$12-$B$4-((ROUND((MAX(0,(0*Costeo!$B$117+0*Costeo!$C$117+0*Costeo!$D$117+$A105*Costeo!$E$117)-100)*Costeo!$B$53+MAX(0,(0*Costeo!$B$118+0*Costeo!$C$118+0*Costeo!$D$118+$A105*Costeo!$E$118)-250)*Costeo!$B$52+(MAX(0,ROUNDUP(((0*Costeo!$B$116+0*Costeo!$C$116)+(0*Costeo!$D$116+$A105*Costeo!$E$116)*0.05)*2,0)-8)+(0*Costeo!$B$131+0*Costeo!$C$131+0*Costeo!$D$131+$A105*Costeo!$E$131))*Costeo!$B$54+IF((0*Costeo!$B$36+0*Costeo!$C$36)&lt;=2000,10,IF((0*Costeo!$B$36+0*Costeo!$C$36)&lt;=5000,15,IF((0*Costeo!$B$36+0*Costeo!$C$36)&lt;=10000,60,110)))-10)*Costeo!$B$51,2))+(ROUND((MAX(0,(0*Costeo!$B$130+0*Costeo!$C$130+0*Costeo!$D$130+$A105*Costeo!$E$130)+20*2*2*Costeo!$B$69+30*(1/3600*Costeo!$B$55+5/3600*Costeo!$B$56)-Costeo!$B$58)+IF(AND((0*Costeo!$B$120+0*Costeo!$C$120+0*Costeo!$D$120+$A105*Costeo!$E$120)&lt;=1000000,(0*Costeo!$B$119+0*Costeo!$C$119+0*Costeo!$D$119+$A105*Costeo!$E$119)&lt;=1000),0,IF((0*Costeo!$B$120+0*Costeo!$C$120+0*Costeo!$D$120+$A105*Costeo!$E$120)&lt;=10000000,20,IF((0*Costeo!$B$120+0*Costeo!$C$120+0*Costeo!$D$120+$A105*Costeo!$E$120)&lt;=50000000,100,300)))+MAX(0,ROUNDUP((0*Costeo!$B$36+0*Costeo!$C$36+0*Costeo!$D$36+$A105*Costeo!$E$36)/5000,0)-1)*Costeo!$B$62+IF((0*Costeo!$B$36+0*Costeo!$C$36+0*Costeo!$D$36+$A105*Costeo!$E$36)&gt;5000,32-Costeo!$B$61,0))*Costeo!$B$51,2))))&gt;=0),$A105,1000000000)</f>
        <v>1000000000</v>
      </c>
    </row>
    <row r="106" hidden="1" outlineLevel="1" ht="30" customHeight="1" s="61">
      <c r="A106" s="52" t="n">
        <v>55</v>
      </c>
      <c r="B106" s="121">
        <f>IF(AND($A106*Costeo!$B$36&lt;=10000,(($A106)*$D$9-$B$4-((ROUND((MAX(0,($A106*Costeo!$B$117+0*Costeo!$C$117+0*Costeo!$D$117+0*Costeo!$E$117)-100)*Costeo!$B$53+MAX(0,($A106*Costeo!$B$118+0*Costeo!$C$118+0*Costeo!$D$118+0*Costeo!$E$118)-250)*Costeo!$B$52+(MAX(0,ROUNDUP((($A106*Costeo!$B$116+0*Costeo!$C$116)+(0*Costeo!$D$116+0*Costeo!$E$116)*0.05)*2,0)-8)+($A106*Costeo!$B$131+0*Costeo!$C$131+0*Costeo!$D$131+0*Costeo!$E$131))*Costeo!$B$54+IF(($A106*Costeo!$B$36+0*Costeo!$C$36)&lt;=2000,10,IF(($A106*Costeo!$B$36+0*Costeo!$C$36)&lt;=5000,15,IF(($A106*Costeo!$B$36+0*Costeo!$C$36)&lt;=10000,60,110)))-10)*Costeo!$B$51,2))+(ROUND((MAX(0,($A106*Costeo!$B$130+0*Costeo!$C$130+0*Costeo!$D$130+0*Costeo!$E$130)+20*2*2*Costeo!$B$69+30*(1/3600*Costeo!$B$55+5/3600*Costeo!$B$56)-Costeo!$B$58)+IF(AND(($A106*Costeo!$B$120+0*Costeo!$C$120+0*Costeo!$D$120+0*Costeo!$E$120)&lt;=1000000,($A106*Costeo!$B$119+0*Costeo!$C$119+0*Costeo!$D$119+0*Costeo!$E$119)&lt;=1000),0,IF(($A106*Costeo!$B$120+0*Costeo!$C$120+0*Costeo!$D$120+0*Costeo!$E$120)&lt;=10000000,20,IF(($A106*Costeo!$B$120+0*Costeo!$C$120+0*Costeo!$D$120+0*Costeo!$E$120)&lt;=50000000,100,300)))+MAX(0,ROUNDUP(($A106*Costeo!$B$36+0*Costeo!$C$36+0*Costeo!$D$36+0*Costeo!$E$36)/5000,0)-1)*Costeo!$B$62+IF(($A106*Costeo!$B$36+0*Costeo!$C$36+0*Costeo!$D$36+0*Costeo!$E$36)&gt;5000,32-Costeo!$B$61,0))*Costeo!$B$51,2))))&gt;=0),$A106,1000000000)</f>
        <v>55</v>
      </c>
      <c r="C106" s="121">
        <f>IF(AND($A106*Costeo!$C$36&lt;=10000,(($A106)*$D$10-$B$4-((ROUND((MAX(0,(0*Costeo!$B$117+$A106*Costeo!$C$117+0*Costeo!$D$117+0*Costeo!$E$117)-100)*Costeo!$B$53+MAX(0,(0*Costeo!$B$118+$A106*Costeo!$C$118+0*Costeo!$D$118+0*Costeo!$E$118)-250)*Costeo!$B$52+(MAX(0,ROUNDUP(((0*Costeo!$B$116+$A106*Costeo!$C$116)+(0*Costeo!$D$116+0*Costeo!$E$116)*0.05)*2,0)-8)+(0*Costeo!$B$131+$A106*Costeo!$C$131+0*Costeo!$D$131+0*Costeo!$E$131))*Costeo!$B$54+IF((0*Costeo!$B$36+$A106*Costeo!$C$36)&lt;=2000,10,IF((0*Costeo!$B$36+$A106*Costeo!$C$36)&lt;=5000,15,IF((0*Costeo!$B$36+$A106*Costeo!$C$36)&lt;=10000,60,110)))-10)*Costeo!$B$51,2))+(ROUND((MAX(0,(0*Costeo!$B$130+$A106*Costeo!$C$130+0*Costeo!$D$130+0*Costeo!$E$130)+20*2*2*Costeo!$B$69+30*(1/3600*Costeo!$B$55+5/3600*Costeo!$B$56)-Costeo!$B$58)+IF(AND((0*Costeo!$B$120+$A106*Costeo!$C$120+0*Costeo!$D$120+0*Costeo!$E$120)&lt;=1000000,(0*Costeo!$B$119+$A106*Costeo!$C$119+0*Costeo!$D$119+0*Costeo!$E$119)&lt;=1000),0,IF((0*Costeo!$B$120+$A106*Costeo!$C$120+0*Costeo!$D$120+0*Costeo!$E$120)&lt;=10000000,20,IF((0*Costeo!$B$120+$A106*Costeo!$C$120+0*Costeo!$D$120+0*Costeo!$E$120)&lt;=50000000,100,300)))+MAX(0,ROUNDUP((0*Costeo!$B$36+$A106*Costeo!$C$36+0*Costeo!$D$36+0*Costeo!$E$36)/5000,0)-1)*Costeo!$B$62+IF((0*Costeo!$B$36+$A106*Costeo!$C$36+0*Costeo!$D$36+0*Costeo!$E$36)&gt;5000,32-Costeo!$B$61,0))*Costeo!$B$51,2))))&gt;=0),$A106,1000000000)</f>
        <v>1000000000</v>
      </c>
      <c r="D106" s="121">
        <f>IF(AND($A106*Costeo!$D$36&lt;=10000,(($A106)*$D$11-$B$4-((ROUND((MAX(0,(0*Costeo!$B$117+0*Costeo!$C$117+$A106*Costeo!$D$117+0*Costeo!$E$117)-100)*Costeo!$B$53+MAX(0,(0*Costeo!$B$118+0*Costeo!$C$118+$A106*Costeo!$D$118+0*Costeo!$E$118)-250)*Costeo!$B$52+(MAX(0,ROUNDUP(((0*Costeo!$B$116+0*Costeo!$C$116)+($A106*Costeo!$D$116+0*Costeo!$E$116)*0.05)*2,0)-8)+(0*Costeo!$B$131+0*Costeo!$C$131+$A106*Costeo!$D$131+0*Costeo!$E$131))*Costeo!$B$54+IF((0*Costeo!$B$36+0*Costeo!$C$36)&lt;=2000,10,IF((0*Costeo!$B$36+0*Costeo!$C$36)&lt;=5000,15,IF((0*Costeo!$B$36+0*Costeo!$C$36)&lt;=10000,60,110)))-10)*Costeo!$B$51,2))+(ROUND((MAX(0,(0*Costeo!$B$130+0*Costeo!$C$130+$A106*Costeo!$D$130+0*Costeo!$E$130)+20*2*2*Costeo!$B$69+30*(1/3600*Costeo!$B$55+5/3600*Costeo!$B$56)-Costeo!$B$58)+IF(AND((0*Costeo!$B$120+0*Costeo!$C$120+$A106*Costeo!$D$120+0*Costeo!$E$120)&lt;=1000000,(0*Costeo!$B$119+0*Costeo!$C$119+$A106*Costeo!$D$119+0*Costeo!$E$119)&lt;=1000),0,IF((0*Costeo!$B$120+0*Costeo!$C$120+$A106*Costeo!$D$120+0*Costeo!$E$120)&lt;=10000000,20,IF((0*Costeo!$B$120+0*Costeo!$C$120+$A106*Costeo!$D$120+0*Costeo!$E$120)&lt;=50000000,100,300)))+MAX(0,ROUNDUP((0*Costeo!$B$36+0*Costeo!$C$36+$A106*Costeo!$D$36+0*Costeo!$E$36)/5000,0)-1)*Costeo!$B$62+IF((0*Costeo!$B$36+0*Costeo!$C$36+$A106*Costeo!$D$36+0*Costeo!$E$36)&gt;5000,32-Costeo!$B$61,0))*Costeo!$B$51,2))))&gt;=0),$A106,1000000000)</f>
        <v>1000000000</v>
      </c>
      <c r="E106" s="121">
        <f>IF(AND($A106*Costeo!$E$36&lt;=10000,(($A106)*$D$12-$B$4-((ROUND((MAX(0,(0*Costeo!$B$117+0*Costeo!$C$117+0*Costeo!$D$117+$A106*Costeo!$E$117)-100)*Costeo!$B$53+MAX(0,(0*Costeo!$B$118+0*Costeo!$C$118+0*Costeo!$D$118+$A106*Costeo!$E$118)-250)*Costeo!$B$52+(MAX(0,ROUNDUP(((0*Costeo!$B$116+0*Costeo!$C$116)+(0*Costeo!$D$116+$A106*Costeo!$E$116)*0.05)*2,0)-8)+(0*Costeo!$B$131+0*Costeo!$C$131+0*Costeo!$D$131+$A106*Costeo!$E$131))*Costeo!$B$54+IF((0*Costeo!$B$36+0*Costeo!$C$36)&lt;=2000,10,IF((0*Costeo!$B$36+0*Costeo!$C$36)&lt;=5000,15,IF((0*Costeo!$B$36+0*Costeo!$C$36)&lt;=10000,60,110)))-10)*Costeo!$B$51,2))+(ROUND((MAX(0,(0*Costeo!$B$130+0*Costeo!$C$130+0*Costeo!$D$130+$A106*Costeo!$E$130)+20*2*2*Costeo!$B$69+30*(1/3600*Costeo!$B$55+5/3600*Costeo!$B$56)-Costeo!$B$58)+IF(AND((0*Costeo!$B$120+0*Costeo!$C$120+0*Costeo!$D$120+$A106*Costeo!$E$120)&lt;=1000000,(0*Costeo!$B$119+0*Costeo!$C$119+0*Costeo!$D$119+$A106*Costeo!$E$119)&lt;=1000),0,IF((0*Costeo!$B$120+0*Costeo!$C$120+0*Costeo!$D$120+$A106*Costeo!$E$120)&lt;=10000000,20,IF((0*Costeo!$B$120+0*Costeo!$C$120+0*Costeo!$D$120+$A106*Costeo!$E$120)&lt;=50000000,100,300)))+MAX(0,ROUNDUP((0*Costeo!$B$36+0*Costeo!$C$36+0*Costeo!$D$36+$A106*Costeo!$E$36)/5000,0)-1)*Costeo!$B$62+IF((0*Costeo!$B$36+0*Costeo!$C$36+0*Costeo!$D$36+$A106*Costeo!$E$36)&gt;5000,32-Costeo!$B$61,0))*Costeo!$B$51,2))))&gt;=0),$A106,1000000000)</f>
        <v>1000000000</v>
      </c>
    </row>
    <row r="107" hidden="1" outlineLevel="1" ht="30" customHeight="1" s="61">
      <c r="A107" s="52" t="n">
        <v>56</v>
      </c>
      <c r="B107" s="121">
        <f>IF(AND($A107*Costeo!$B$36&lt;=10000,(($A107)*$D$9-$B$4-((ROUND((MAX(0,($A107*Costeo!$B$117+0*Costeo!$C$117+0*Costeo!$D$117+0*Costeo!$E$117)-100)*Costeo!$B$53+MAX(0,($A107*Costeo!$B$118+0*Costeo!$C$118+0*Costeo!$D$118+0*Costeo!$E$118)-250)*Costeo!$B$52+(MAX(0,ROUNDUP((($A107*Costeo!$B$116+0*Costeo!$C$116)+(0*Costeo!$D$116+0*Costeo!$E$116)*0.05)*2,0)-8)+($A107*Costeo!$B$131+0*Costeo!$C$131+0*Costeo!$D$131+0*Costeo!$E$131))*Costeo!$B$54+IF(($A107*Costeo!$B$36+0*Costeo!$C$36)&lt;=2000,10,IF(($A107*Costeo!$B$36+0*Costeo!$C$36)&lt;=5000,15,IF(($A107*Costeo!$B$36+0*Costeo!$C$36)&lt;=10000,60,110)))-10)*Costeo!$B$51,2))+(ROUND((MAX(0,($A107*Costeo!$B$130+0*Costeo!$C$130+0*Costeo!$D$130+0*Costeo!$E$130)+20*2*2*Costeo!$B$69+30*(1/3600*Costeo!$B$55+5/3600*Costeo!$B$56)-Costeo!$B$58)+IF(AND(($A107*Costeo!$B$120+0*Costeo!$C$120+0*Costeo!$D$120+0*Costeo!$E$120)&lt;=1000000,($A107*Costeo!$B$119+0*Costeo!$C$119+0*Costeo!$D$119+0*Costeo!$E$119)&lt;=1000),0,IF(($A107*Costeo!$B$120+0*Costeo!$C$120+0*Costeo!$D$120+0*Costeo!$E$120)&lt;=10000000,20,IF(($A107*Costeo!$B$120+0*Costeo!$C$120+0*Costeo!$D$120+0*Costeo!$E$120)&lt;=50000000,100,300)))+MAX(0,ROUNDUP(($A107*Costeo!$B$36+0*Costeo!$C$36+0*Costeo!$D$36+0*Costeo!$E$36)/5000,0)-1)*Costeo!$B$62+IF(($A107*Costeo!$B$36+0*Costeo!$C$36+0*Costeo!$D$36+0*Costeo!$E$36)&gt;5000,32-Costeo!$B$61,0))*Costeo!$B$51,2))))&gt;=0),$A107,1000000000)</f>
        <v>56</v>
      </c>
      <c r="C107" s="121">
        <f>IF(AND($A107*Costeo!$C$36&lt;=10000,(($A107)*$D$10-$B$4-((ROUND((MAX(0,(0*Costeo!$B$117+$A107*Costeo!$C$117+0*Costeo!$D$117+0*Costeo!$E$117)-100)*Costeo!$B$53+MAX(0,(0*Costeo!$B$118+$A107*Costeo!$C$118+0*Costeo!$D$118+0*Costeo!$E$118)-250)*Costeo!$B$52+(MAX(0,ROUNDUP(((0*Costeo!$B$116+$A107*Costeo!$C$116)+(0*Costeo!$D$116+0*Costeo!$E$116)*0.05)*2,0)-8)+(0*Costeo!$B$131+$A107*Costeo!$C$131+0*Costeo!$D$131+0*Costeo!$E$131))*Costeo!$B$54+IF((0*Costeo!$B$36+$A107*Costeo!$C$36)&lt;=2000,10,IF((0*Costeo!$B$36+$A107*Costeo!$C$36)&lt;=5000,15,IF((0*Costeo!$B$36+$A107*Costeo!$C$36)&lt;=10000,60,110)))-10)*Costeo!$B$51,2))+(ROUND((MAX(0,(0*Costeo!$B$130+$A107*Costeo!$C$130+0*Costeo!$D$130+0*Costeo!$E$130)+20*2*2*Costeo!$B$69+30*(1/3600*Costeo!$B$55+5/3600*Costeo!$B$56)-Costeo!$B$58)+IF(AND((0*Costeo!$B$120+$A107*Costeo!$C$120+0*Costeo!$D$120+0*Costeo!$E$120)&lt;=1000000,(0*Costeo!$B$119+$A107*Costeo!$C$119+0*Costeo!$D$119+0*Costeo!$E$119)&lt;=1000),0,IF((0*Costeo!$B$120+$A107*Costeo!$C$120+0*Costeo!$D$120+0*Costeo!$E$120)&lt;=10000000,20,IF((0*Costeo!$B$120+$A107*Costeo!$C$120+0*Costeo!$D$120+0*Costeo!$E$120)&lt;=50000000,100,300)))+MAX(0,ROUNDUP((0*Costeo!$B$36+$A107*Costeo!$C$36+0*Costeo!$D$36+0*Costeo!$E$36)/5000,0)-1)*Costeo!$B$62+IF((0*Costeo!$B$36+$A107*Costeo!$C$36+0*Costeo!$D$36+0*Costeo!$E$36)&gt;5000,32-Costeo!$B$61,0))*Costeo!$B$51,2))))&gt;=0),$A107,1000000000)</f>
        <v>1000000000</v>
      </c>
      <c r="D107" s="121">
        <f>IF(AND($A107*Costeo!$D$36&lt;=10000,(($A107)*$D$11-$B$4-((ROUND((MAX(0,(0*Costeo!$B$117+0*Costeo!$C$117+$A107*Costeo!$D$117+0*Costeo!$E$117)-100)*Costeo!$B$53+MAX(0,(0*Costeo!$B$118+0*Costeo!$C$118+$A107*Costeo!$D$118+0*Costeo!$E$118)-250)*Costeo!$B$52+(MAX(0,ROUNDUP(((0*Costeo!$B$116+0*Costeo!$C$116)+($A107*Costeo!$D$116+0*Costeo!$E$116)*0.05)*2,0)-8)+(0*Costeo!$B$131+0*Costeo!$C$131+$A107*Costeo!$D$131+0*Costeo!$E$131))*Costeo!$B$54+IF((0*Costeo!$B$36+0*Costeo!$C$36)&lt;=2000,10,IF((0*Costeo!$B$36+0*Costeo!$C$36)&lt;=5000,15,IF((0*Costeo!$B$36+0*Costeo!$C$36)&lt;=10000,60,110)))-10)*Costeo!$B$51,2))+(ROUND((MAX(0,(0*Costeo!$B$130+0*Costeo!$C$130+$A107*Costeo!$D$130+0*Costeo!$E$130)+20*2*2*Costeo!$B$69+30*(1/3600*Costeo!$B$55+5/3600*Costeo!$B$56)-Costeo!$B$58)+IF(AND((0*Costeo!$B$120+0*Costeo!$C$120+$A107*Costeo!$D$120+0*Costeo!$E$120)&lt;=1000000,(0*Costeo!$B$119+0*Costeo!$C$119+$A107*Costeo!$D$119+0*Costeo!$E$119)&lt;=1000),0,IF((0*Costeo!$B$120+0*Costeo!$C$120+$A107*Costeo!$D$120+0*Costeo!$E$120)&lt;=10000000,20,IF((0*Costeo!$B$120+0*Costeo!$C$120+$A107*Costeo!$D$120+0*Costeo!$E$120)&lt;=50000000,100,300)))+MAX(0,ROUNDUP((0*Costeo!$B$36+0*Costeo!$C$36+$A107*Costeo!$D$36+0*Costeo!$E$36)/5000,0)-1)*Costeo!$B$62+IF((0*Costeo!$B$36+0*Costeo!$C$36+$A107*Costeo!$D$36+0*Costeo!$E$36)&gt;5000,32-Costeo!$B$61,0))*Costeo!$B$51,2))))&gt;=0),$A107,1000000000)</f>
        <v>1000000000</v>
      </c>
      <c r="E107" s="121">
        <f>IF(AND($A107*Costeo!$E$36&lt;=10000,(($A107)*$D$12-$B$4-((ROUND((MAX(0,(0*Costeo!$B$117+0*Costeo!$C$117+0*Costeo!$D$117+$A107*Costeo!$E$117)-100)*Costeo!$B$53+MAX(0,(0*Costeo!$B$118+0*Costeo!$C$118+0*Costeo!$D$118+$A107*Costeo!$E$118)-250)*Costeo!$B$52+(MAX(0,ROUNDUP(((0*Costeo!$B$116+0*Costeo!$C$116)+(0*Costeo!$D$116+$A107*Costeo!$E$116)*0.05)*2,0)-8)+(0*Costeo!$B$131+0*Costeo!$C$131+0*Costeo!$D$131+$A107*Costeo!$E$131))*Costeo!$B$54+IF((0*Costeo!$B$36+0*Costeo!$C$36)&lt;=2000,10,IF((0*Costeo!$B$36+0*Costeo!$C$36)&lt;=5000,15,IF((0*Costeo!$B$36+0*Costeo!$C$36)&lt;=10000,60,110)))-10)*Costeo!$B$51,2))+(ROUND((MAX(0,(0*Costeo!$B$130+0*Costeo!$C$130+0*Costeo!$D$130+$A107*Costeo!$E$130)+20*2*2*Costeo!$B$69+30*(1/3600*Costeo!$B$55+5/3600*Costeo!$B$56)-Costeo!$B$58)+IF(AND((0*Costeo!$B$120+0*Costeo!$C$120+0*Costeo!$D$120+$A107*Costeo!$E$120)&lt;=1000000,(0*Costeo!$B$119+0*Costeo!$C$119+0*Costeo!$D$119+$A107*Costeo!$E$119)&lt;=1000),0,IF((0*Costeo!$B$120+0*Costeo!$C$120+0*Costeo!$D$120+$A107*Costeo!$E$120)&lt;=10000000,20,IF((0*Costeo!$B$120+0*Costeo!$C$120+0*Costeo!$D$120+$A107*Costeo!$E$120)&lt;=50000000,100,300)))+MAX(0,ROUNDUP((0*Costeo!$B$36+0*Costeo!$C$36+0*Costeo!$D$36+$A107*Costeo!$E$36)/5000,0)-1)*Costeo!$B$62+IF((0*Costeo!$B$36+0*Costeo!$C$36+0*Costeo!$D$36+$A107*Costeo!$E$36)&gt;5000,32-Costeo!$B$61,0))*Costeo!$B$51,2))))&gt;=0),$A107,1000000000)</f>
        <v>1000000000</v>
      </c>
    </row>
    <row r="108" hidden="1" outlineLevel="1" ht="30" customHeight="1" s="61">
      <c r="A108" s="52" t="n">
        <v>57</v>
      </c>
      <c r="B108" s="121">
        <f>IF(AND($A108*Costeo!$B$36&lt;=10000,(($A108)*$D$9-$B$4-((ROUND((MAX(0,($A108*Costeo!$B$117+0*Costeo!$C$117+0*Costeo!$D$117+0*Costeo!$E$117)-100)*Costeo!$B$53+MAX(0,($A108*Costeo!$B$118+0*Costeo!$C$118+0*Costeo!$D$118+0*Costeo!$E$118)-250)*Costeo!$B$52+(MAX(0,ROUNDUP((($A108*Costeo!$B$116+0*Costeo!$C$116)+(0*Costeo!$D$116+0*Costeo!$E$116)*0.05)*2,0)-8)+($A108*Costeo!$B$131+0*Costeo!$C$131+0*Costeo!$D$131+0*Costeo!$E$131))*Costeo!$B$54+IF(($A108*Costeo!$B$36+0*Costeo!$C$36)&lt;=2000,10,IF(($A108*Costeo!$B$36+0*Costeo!$C$36)&lt;=5000,15,IF(($A108*Costeo!$B$36+0*Costeo!$C$36)&lt;=10000,60,110)))-10)*Costeo!$B$51,2))+(ROUND((MAX(0,($A108*Costeo!$B$130+0*Costeo!$C$130+0*Costeo!$D$130+0*Costeo!$E$130)+20*2*2*Costeo!$B$69+30*(1/3600*Costeo!$B$55+5/3600*Costeo!$B$56)-Costeo!$B$58)+IF(AND(($A108*Costeo!$B$120+0*Costeo!$C$120+0*Costeo!$D$120+0*Costeo!$E$120)&lt;=1000000,($A108*Costeo!$B$119+0*Costeo!$C$119+0*Costeo!$D$119+0*Costeo!$E$119)&lt;=1000),0,IF(($A108*Costeo!$B$120+0*Costeo!$C$120+0*Costeo!$D$120+0*Costeo!$E$120)&lt;=10000000,20,IF(($A108*Costeo!$B$120+0*Costeo!$C$120+0*Costeo!$D$120+0*Costeo!$E$120)&lt;=50000000,100,300)))+MAX(0,ROUNDUP(($A108*Costeo!$B$36+0*Costeo!$C$36+0*Costeo!$D$36+0*Costeo!$E$36)/5000,0)-1)*Costeo!$B$62+IF(($A108*Costeo!$B$36+0*Costeo!$C$36+0*Costeo!$D$36+0*Costeo!$E$36)&gt;5000,32-Costeo!$B$61,0))*Costeo!$B$51,2))))&gt;=0),$A108,1000000000)</f>
        <v>57</v>
      </c>
      <c r="C108" s="121">
        <f>IF(AND($A108*Costeo!$C$36&lt;=10000,(($A108)*$D$10-$B$4-((ROUND((MAX(0,(0*Costeo!$B$117+$A108*Costeo!$C$117+0*Costeo!$D$117+0*Costeo!$E$117)-100)*Costeo!$B$53+MAX(0,(0*Costeo!$B$118+$A108*Costeo!$C$118+0*Costeo!$D$118+0*Costeo!$E$118)-250)*Costeo!$B$52+(MAX(0,ROUNDUP(((0*Costeo!$B$116+$A108*Costeo!$C$116)+(0*Costeo!$D$116+0*Costeo!$E$116)*0.05)*2,0)-8)+(0*Costeo!$B$131+$A108*Costeo!$C$131+0*Costeo!$D$131+0*Costeo!$E$131))*Costeo!$B$54+IF((0*Costeo!$B$36+$A108*Costeo!$C$36)&lt;=2000,10,IF((0*Costeo!$B$36+$A108*Costeo!$C$36)&lt;=5000,15,IF((0*Costeo!$B$36+$A108*Costeo!$C$36)&lt;=10000,60,110)))-10)*Costeo!$B$51,2))+(ROUND((MAX(0,(0*Costeo!$B$130+$A108*Costeo!$C$130+0*Costeo!$D$130+0*Costeo!$E$130)+20*2*2*Costeo!$B$69+30*(1/3600*Costeo!$B$55+5/3600*Costeo!$B$56)-Costeo!$B$58)+IF(AND((0*Costeo!$B$120+$A108*Costeo!$C$120+0*Costeo!$D$120+0*Costeo!$E$120)&lt;=1000000,(0*Costeo!$B$119+$A108*Costeo!$C$119+0*Costeo!$D$119+0*Costeo!$E$119)&lt;=1000),0,IF((0*Costeo!$B$120+$A108*Costeo!$C$120+0*Costeo!$D$120+0*Costeo!$E$120)&lt;=10000000,20,IF((0*Costeo!$B$120+$A108*Costeo!$C$120+0*Costeo!$D$120+0*Costeo!$E$120)&lt;=50000000,100,300)))+MAX(0,ROUNDUP((0*Costeo!$B$36+$A108*Costeo!$C$36+0*Costeo!$D$36+0*Costeo!$E$36)/5000,0)-1)*Costeo!$B$62+IF((0*Costeo!$B$36+$A108*Costeo!$C$36+0*Costeo!$D$36+0*Costeo!$E$36)&gt;5000,32-Costeo!$B$61,0))*Costeo!$B$51,2))))&gt;=0),$A108,1000000000)</f>
        <v>1000000000</v>
      </c>
      <c r="D108" s="121">
        <f>IF(AND($A108*Costeo!$D$36&lt;=10000,(($A108)*$D$11-$B$4-((ROUND((MAX(0,(0*Costeo!$B$117+0*Costeo!$C$117+$A108*Costeo!$D$117+0*Costeo!$E$117)-100)*Costeo!$B$53+MAX(0,(0*Costeo!$B$118+0*Costeo!$C$118+$A108*Costeo!$D$118+0*Costeo!$E$118)-250)*Costeo!$B$52+(MAX(0,ROUNDUP(((0*Costeo!$B$116+0*Costeo!$C$116)+($A108*Costeo!$D$116+0*Costeo!$E$116)*0.05)*2,0)-8)+(0*Costeo!$B$131+0*Costeo!$C$131+$A108*Costeo!$D$131+0*Costeo!$E$131))*Costeo!$B$54+IF((0*Costeo!$B$36+0*Costeo!$C$36)&lt;=2000,10,IF((0*Costeo!$B$36+0*Costeo!$C$36)&lt;=5000,15,IF((0*Costeo!$B$36+0*Costeo!$C$36)&lt;=10000,60,110)))-10)*Costeo!$B$51,2))+(ROUND((MAX(0,(0*Costeo!$B$130+0*Costeo!$C$130+$A108*Costeo!$D$130+0*Costeo!$E$130)+20*2*2*Costeo!$B$69+30*(1/3600*Costeo!$B$55+5/3600*Costeo!$B$56)-Costeo!$B$58)+IF(AND((0*Costeo!$B$120+0*Costeo!$C$120+$A108*Costeo!$D$120+0*Costeo!$E$120)&lt;=1000000,(0*Costeo!$B$119+0*Costeo!$C$119+$A108*Costeo!$D$119+0*Costeo!$E$119)&lt;=1000),0,IF((0*Costeo!$B$120+0*Costeo!$C$120+$A108*Costeo!$D$120+0*Costeo!$E$120)&lt;=10000000,20,IF((0*Costeo!$B$120+0*Costeo!$C$120+$A108*Costeo!$D$120+0*Costeo!$E$120)&lt;=50000000,100,300)))+MAX(0,ROUNDUP((0*Costeo!$B$36+0*Costeo!$C$36+$A108*Costeo!$D$36+0*Costeo!$E$36)/5000,0)-1)*Costeo!$B$62+IF((0*Costeo!$B$36+0*Costeo!$C$36+$A108*Costeo!$D$36+0*Costeo!$E$36)&gt;5000,32-Costeo!$B$61,0))*Costeo!$B$51,2))))&gt;=0),$A108,1000000000)</f>
        <v>1000000000</v>
      </c>
      <c r="E108" s="121">
        <f>IF(AND($A108*Costeo!$E$36&lt;=10000,(($A108)*$D$12-$B$4-((ROUND((MAX(0,(0*Costeo!$B$117+0*Costeo!$C$117+0*Costeo!$D$117+$A108*Costeo!$E$117)-100)*Costeo!$B$53+MAX(0,(0*Costeo!$B$118+0*Costeo!$C$118+0*Costeo!$D$118+$A108*Costeo!$E$118)-250)*Costeo!$B$52+(MAX(0,ROUNDUP(((0*Costeo!$B$116+0*Costeo!$C$116)+(0*Costeo!$D$116+$A108*Costeo!$E$116)*0.05)*2,0)-8)+(0*Costeo!$B$131+0*Costeo!$C$131+0*Costeo!$D$131+$A108*Costeo!$E$131))*Costeo!$B$54+IF((0*Costeo!$B$36+0*Costeo!$C$36)&lt;=2000,10,IF((0*Costeo!$B$36+0*Costeo!$C$36)&lt;=5000,15,IF((0*Costeo!$B$36+0*Costeo!$C$36)&lt;=10000,60,110)))-10)*Costeo!$B$51,2))+(ROUND((MAX(0,(0*Costeo!$B$130+0*Costeo!$C$130+0*Costeo!$D$130+$A108*Costeo!$E$130)+20*2*2*Costeo!$B$69+30*(1/3600*Costeo!$B$55+5/3600*Costeo!$B$56)-Costeo!$B$58)+IF(AND((0*Costeo!$B$120+0*Costeo!$C$120+0*Costeo!$D$120+$A108*Costeo!$E$120)&lt;=1000000,(0*Costeo!$B$119+0*Costeo!$C$119+0*Costeo!$D$119+$A108*Costeo!$E$119)&lt;=1000),0,IF((0*Costeo!$B$120+0*Costeo!$C$120+0*Costeo!$D$120+$A108*Costeo!$E$120)&lt;=10000000,20,IF((0*Costeo!$B$120+0*Costeo!$C$120+0*Costeo!$D$120+$A108*Costeo!$E$120)&lt;=50000000,100,300)))+MAX(0,ROUNDUP((0*Costeo!$B$36+0*Costeo!$C$36+0*Costeo!$D$36+$A108*Costeo!$E$36)/5000,0)-1)*Costeo!$B$62+IF((0*Costeo!$B$36+0*Costeo!$C$36+0*Costeo!$D$36+$A108*Costeo!$E$36)&gt;5000,32-Costeo!$B$61,0))*Costeo!$B$51,2))))&gt;=0),$A108,1000000000)</f>
        <v>1000000000</v>
      </c>
    </row>
    <row r="109" hidden="1" outlineLevel="1" ht="30" customHeight="1" s="61">
      <c r="A109" s="52" t="n">
        <v>58</v>
      </c>
      <c r="B109" s="121">
        <f>IF(AND($A109*Costeo!$B$36&lt;=10000,(($A109)*$D$9-$B$4-((ROUND((MAX(0,($A109*Costeo!$B$117+0*Costeo!$C$117+0*Costeo!$D$117+0*Costeo!$E$117)-100)*Costeo!$B$53+MAX(0,($A109*Costeo!$B$118+0*Costeo!$C$118+0*Costeo!$D$118+0*Costeo!$E$118)-250)*Costeo!$B$52+(MAX(0,ROUNDUP((($A109*Costeo!$B$116+0*Costeo!$C$116)+(0*Costeo!$D$116+0*Costeo!$E$116)*0.05)*2,0)-8)+($A109*Costeo!$B$131+0*Costeo!$C$131+0*Costeo!$D$131+0*Costeo!$E$131))*Costeo!$B$54+IF(($A109*Costeo!$B$36+0*Costeo!$C$36)&lt;=2000,10,IF(($A109*Costeo!$B$36+0*Costeo!$C$36)&lt;=5000,15,IF(($A109*Costeo!$B$36+0*Costeo!$C$36)&lt;=10000,60,110)))-10)*Costeo!$B$51,2))+(ROUND((MAX(0,($A109*Costeo!$B$130+0*Costeo!$C$130+0*Costeo!$D$130+0*Costeo!$E$130)+20*2*2*Costeo!$B$69+30*(1/3600*Costeo!$B$55+5/3600*Costeo!$B$56)-Costeo!$B$58)+IF(AND(($A109*Costeo!$B$120+0*Costeo!$C$120+0*Costeo!$D$120+0*Costeo!$E$120)&lt;=1000000,($A109*Costeo!$B$119+0*Costeo!$C$119+0*Costeo!$D$119+0*Costeo!$E$119)&lt;=1000),0,IF(($A109*Costeo!$B$120+0*Costeo!$C$120+0*Costeo!$D$120+0*Costeo!$E$120)&lt;=10000000,20,IF(($A109*Costeo!$B$120+0*Costeo!$C$120+0*Costeo!$D$120+0*Costeo!$E$120)&lt;=50000000,100,300)))+MAX(0,ROUNDUP(($A109*Costeo!$B$36+0*Costeo!$C$36+0*Costeo!$D$36+0*Costeo!$E$36)/5000,0)-1)*Costeo!$B$62+IF(($A109*Costeo!$B$36+0*Costeo!$C$36+0*Costeo!$D$36+0*Costeo!$E$36)&gt;5000,32-Costeo!$B$61,0))*Costeo!$B$51,2))))&gt;=0),$A109,1000000000)</f>
        <v>58</v>
      </c>
      <c r="C109" s="121">
        <f>IF(AND($A109*Costeo!$C$36&lt;=10000,(($A109)*$D$10-$B$4-((ROUND((MAX(0,(0*Costeo!$B$117+$A109*Costeo!$C$117+0*Costeo!$D$117+0*Costeo!$E$117)-100)*Costeo!$B$53+MAX(0,(0*Costeo!$B$118+$A109*Costeo!$C$118+0*Costeo!$D$118+0*Costeo!$E$118)-250)*Costeo!$B$52+(MAX(0,ROUNDUP(((0*Costeo!$B$116+$A109*Costeo!$C$116)+(0*Costeo!$D$116+0*Costeo!$E$116)*0.05)*2,0)-8)+(0*Costeo!$B$131+$A109*Costeo!$C$131+0*Costeo!$D$131+0*Costeo!$E$131))*Costeo!$B$54+IF((0*Costeo!$B$36+$A109*Costeo!$C$36)&lt;=2000,10,IF((0*Costeo!$B$36+$A109*Costeo!$C$36)&lt;=5000,15,IF((0*Costeo!$B$36+$A109*Costeo!$C$36)&lt;=10000,60,110)))-10)*Costeo!$B$51,2))+(ROUND((MAX(0,(0*Costeo!$B$130+$A109*Costeo!$C$130+0*Costeo!$D$130+0*Costeo!$E$130)+20*2*2*Costeo!$B$69+30*(1/3600*Costeo!$B$55+5/3600*Costeo!$B$56)-Costeo!$B$58)+IF(AND((0*Costeo!$B$120+$A109*Costeo!$C$120+0*Costeo!$D$120+0*Costeo!$E$120)&lt;=1000000,(0*Costeo!$B$119+$A109*Costeo!$C$119+0*Costeo!$D$119+0*Costeo!$E$119)&lt;=1000),0,IF((0*Costeo!$B$120+$A109*Costeo!$C$120+0*Costeo!$D$120+0*Costeo!$E$120)&lt;=10000000,20,IF((0*Costeo!$B$120+$A109*Costeo!$C$120+0*Costeo!$D$120+0*Costeo!$E$120)&lt;=50000000,100,300)))+MAX(0,ROUNDUP((0*Costeo!$B$36+$A109*Costeo!$C$36+0*Costeo!$D$36+0*Costeo!$E$36)/5000,0)-1)*Costeo!$B$62+IF((0*Costeo!$B$36+$A109*Costeo!$C$36+0*Costeo!$D$36+0*Costeo!$E$36)&gt;5000,32-Costeo!$B$61,0))*Costeo!$B$51,2))))&gt;=0),$A109,1000000000)</f>
        <v>1000000000</v>
      </c>
      <c r="D109" s="121">
        <f>IF(AND($A109*Costeo!$D$36&lt;=10000,(($A109)*$D$11-$B$4-((ROUND((MAX(0,(0*Costeo!$B$117+0*Costeo!$C$117+$A109*Costeo!$D$117+0*Costeo!$E$117)-100)*Costeo!$B$53+MAX(0,(0*Costeo!$B$118+0*Costeo!$C$118+$A109*Costeo!$D$118+0*Costeo!$E$118)-250)*Costeo!$B$52+(MAX(0,ROUNDUP(((0*Costeo!$B$116+0*Costeo!$C$116)+($A109*Costeo!$D$116+0*Costeo!$E$116)*0.05)*2,0)-8)+(0*Costeo!$B$131+0*Costeo!$C$131+$A109*Costeo!$D$131+0*Costeo!$E$131))*Costeo!$B$54+IF((0*Costeo!$B$36+0*Costeo!$C$36)&lt;=2000,10,IF((0*Costeo!$B$36+0*Costeo!$C$36)&lt;=5000,15,IF((0*Costeo!$B$36+0*Costeo!$C$36)&lt;=10000,60,110)))-10)*Costeo!$B$51,2))+(ROUND((MAX(0,(0*Costeo!$B$130+0*Costeo!$C$130+$A109*Costeo!$D$130+0*Costeo!$E$130)+20*2*2*Costeo!$B$69+30*(1/3600*Costeo!$B$55+5/3600*Costeo!$B$56)-Costeo!$B$58)+IF(AND((0*Costeo!$B$120+0*Costeo!$C$120+$A109*Costeo!$D$120+0*Costeo!$E$120)&lt;=1000000,(0*Costeo!$B$119+0*Costeo!$C$119+$A109*Costeo!$D$119+0*Costeo!$E$119)&lt;=1000),0,IF((0*Costeo!$B$120+0*Costeo!$C$120+$A109*Costeo!$D$120+0*Costeo!$E$120)&lt;=10000000,20,IF((0*Costeo!$B$120+0*Costeo!$C$120+$A109*Costeo!$D$120+0*Costeo!$E$120)&lt;=50000000,100,300)))+MAX(0,ROUNDUP((0*Costeo!$B$36+0*Costeo!$C$36+$A109*Costeo!$D$36+0*Costeo!$E$36)/5000,0)-1)*Costeo!$B$62+IF((0*Costeo!$B$36+0*Costeo!$C$36+$A109*Costeo!$D$36+0*Costeo!$E$36)&gt;5000,32-Costeo!$B$61,0))*Costeo!$B$51,2))))&gt;=0),$A109,1000000000)</f>
        <v>1000000000</v>
      </c>
      <c r="E109" s="121">
        <f>IF(AND($A109*Costeo!$E$36&lt;=10000,(($A109)*$D$12-$B$4-((ROUND((MAX(0,(0*Costeo!$B$117+0*Costeo!$C$117+0*Costeo!$D$117+$A109*Costeo!$E$117)-100)*Costeo!$B$53+MAX(0,(0*Costeo!$B$118+0*Costeo!$C$118+0*Costeo!$D$118+$A109*Costeo!$E$118)-250)*Costeo!$B$52+(MAX(0,ROUNDUP(((0*Costeo!$B$116+0*Costeo!$C$116)+(0*Costeo!$D$116+$A109*Costeo!$E$116)*0.05)*2,0)-8)+(0*Costeo!$B$131+0*Costeo!$C$131+0*Costeo!$D$131+$A109*Costeo!$E$131))*Costeo!$B$54+IF((0*Costeo!$B$36+0*Costeo!$C$36)&lt;=2000,10,IF((0*Costeo!$B$36+0*Costeo!$C$36)&lt;=5000,15,IF((0*Costeo!$B$36+0*Costeo!$C$36)&lt;=10000,60,110)))-10)*Costeo!$B$51,2))+(ROUND((MAX(0,(0*Costeo!$B$130+0*Costeo!$C$130+0*Costeo!$D$130+$A109*Costeo!$E$130)+20*2*2*Costeo!$B$69+30*(1/3600*Costeo!$B$55+5/3600*Costeo!$B$56)-Costeo!$B$58)+IF(AND((0*Costeo!$B$120+0*Costeo!$C$120+0*Costeo!$D$120+$A109*Costeo!$E$120)&lt;=1000000,(0*Costeo!$B$119+0*Costeo!$C$119+0*Costeo!$D$119+$A109*Costeo!$E$119)&lt;=1000),0,IF((0*Costeo!$B$120+0*Costeo!$C$120+0*Costeo!$D$120+$A109*Costeo!$E$120)&lt;=10000000,20,IF((0*Costeo!$B$120+0*Costeo!$C$120+0*Costeo!$D$120+$A109*Costeo!$E$120)&lt;=50000000,100,300)))+MAX(0,ROUNDUP((0*Costeo!$B$36+0*Costeo!$C$36+0*Costeo!$D$36+$A109*Costeo!$E$36)/5000,0)-1)*Costeo!$B$62+IF((0*Costeo!$B$36+0*Costeo!$C$36+0*Costeo!$D$36+$A109*Costeo!$E$36)&gt;5000,32-Costeo!$B$61,0))*Costeo!$B$51,2))))&gt;=0),$A109,1000000000)</f>
        <v>1000000000</v>
      </c>
    </row>
    <row r="110" hidden="1" outlineLevel="1" ht="30" customHeight="1" s="61">
      <c r="A110" s="52" t="n">
        <v>59</v>
      </c>
      <c r="B110" s="121">
        <f>IF(AND($A110*Costeo!$B$36&lt;=10000,(($A110)*$D$9-$B$4-((ROUND((MAX(0,($A110*Costeo!$B$117+0*Costeo!$C$117+0*Costeo!$D$117+0*Costeo!$E$117)-100)*Costeo!$B$53+MAX(0,($A110*Costeo!$B$118+0*Costeo!$C$118+0*Costeo!$D$118+0*Costeo!$E$118)-250)*Costeo!$B$52+(MAX(0,ROUNDUP((($A110*Costeo!$B$116+0*Costeo!$C$116)+(0*Costeo!$D$116+0*Costeo!$E$116)*0.05)*2,0)-8)+($A110*Costeo!$B$131+0*Costeo!$C$131+0*Costeo!$D$131+0*Costeo!$E$131))*Costeo!$B$54+IF(($A110*Costeo!$B$36+0*Costeo!$C$36)&lt;=2000,10,IF(($A110*Costeo!$B$36+0*Costeo!$C$36)&lt;=5000,15,IF(($A110*Costeo!$B$36+0*Costeo!$C$36)&lt;=10000,60,110)))-10)*Costeo!$B$51,2))+(ROUND((MAX(0,($A110*Costeo!$B$130+0*Costeo!$C$130+0*Costeo!$D$130+0*Costeo!$E$130)+20*2*2*Costeo!$B$69+30*(1/3600*Costeo!$B$55+5/3600*Costeo!$B$56)-Costeo!$B$58)+IF(AND(($A110*Costeo!$B$120+0*Costeo!$C$120+0*Costeo!$D$120+0*Costeo!$E$120)&lt;=1000000,($A110*Costeo!$B$119+0*Costeo!$C$119+0*Costeo!$D$119+0*Costeo!$E$119)&lt;=1000),0,IF(($A110*Costeo!$B$120+0*Costeo!$C$120+0*Costeo!$D$120+0*Costeo!$E$120)&lt;=10000000,20,IF(($A110*Costeo!$B$120+0*Costeo!$C$120+0*Costeo!$D$120+0*Costeo!$E$120)&lt;=50000000,100,300)))+MAX(0,ROUNDUP(($A110*Costeo!$B$36+0*Costeo!$C$36+0*Costeo!$D$36+0*Costeo!$E$36)/5000,0)-1)*Costeo!$B$62+IF(($A110*Costeo!$B$36+0*Costeo!$C$36+0*Costeo!$D$36+0*Costeo!$E$36)&gt;5000,32-Costeo!$B$61,0))*Costeo!$B$51,2))))&gt;=0),$A110,1000000000)</f>
        <v>59</v>
      </c>
      <c r="C110" s="121">
        <f>IF(AND($A110*Costeo!$C$36&lt;=10000,(($A110)*$D$10-$B$4-((ROUND((MAX(0,(0*Costeo!$B$117+$A110*Costeo!$C$117+0*Costeo!$D$117+0*Costeo!$E$117)-100)*Costeo!$B$53+MAX(0,(0*Costeo!$B$118+$A110*Costeo!$C$118+0*Costeo!$D$118+0*Costeo!$E$118)-250)*Costeo!$B$52+(MAX(0,ROUNDUP(((0*Costeo!$B$116+$A110*Costeo!$C$116)+(0*Costeo!$D$116+0*Costeo!$E$116)*0.05)*2,0)-8)+(0*Costeo!$B$131+$A110*Costeo!$C$131+0*Costeo!$D$131+0*Costeo!$E$131))*Costeo!$B$54+IF((0*Costeo!$B$36+$A110*Costeo!$C$36)&lt;=2000,10,IF((0*Costeo!$B$36+$A110*Costeo!$C$36)&lt;=5000,15,IF((0*Costeo!$B$36+$A110*Costeo!$C$36)&lt;=10000,60,110)))-10)*Costeo!$B$51,2))+(ROUND((MAX(0,(0*Costeo!$B$130+$A110*Costeo!$C$130+0*Costeo!$D$130+0*Costeo!$E$130)+20*2*2*Costeo!$B$69+30*(1/3600*Costeo!$B$55+5/3600*Costeo!$B$56)-Costeo!$B$58)+IF(AND((0*Costeo!$B$120+$A110*Costeo!$C$120+0*Costeo!$D$120+0*Costeo!$E$120)&lt;=1000000,(0*Costeo!$B$119+$A110*Costeo!$C$119+0*Costeo!$D$119+0*Costeo!$E$119)&lt;=1000),0,IF((0*Costeo!$B$120+$A110*Costeo!$C$120+0*Costeo!$D$120+0*Costeo!$E$120)&lt;=10000000,20,IF((0*Costeo!$B$120+$A110*Costeo!$C$120+0*Costeo!$D$120+0*Costeo!$E$120)&lt;=50000000,100,300)))+MAX(0,ROUNDUP((0*Costeo!$B$36+$A110*Costeo!$C$36+0*Costeo!$D$36+0*Costeo!$E$36)/5000,0)-1)*Costeo!$B$62+IF((0*Costeo!$B$36+$A110*Costeo!$C$36+0*Costeo!$D$36+0*Costeo!$E$36)&gt;5000,32-Costeo!$B$61,0))*Costeo!$B$51,2))))&gt;=0),$A110,1000000000)</f>
        <v>1000000000</v>
      </c>
      <c r="D110" s="121">
        <f>IF(AND($A110*Costeo!$D$36&lt;=10000,(($A110)*$D$11-$B$4-((ROUND((MAX(0,(0*Costeo!$B$117+0*Costeo!$C$117+$A110*Costeo!$D$117+0*Costeo!$E$117)-100)*Costeo!$B$53+MAX(0,(0*Costeo!$B$118+0*Costeo!$C$118+$A110*Costeo!$D$118+0*Costeo!$E$118)-250)*Costeo!$B$52+(MAX(0,ROUNDUP(((0*Costeo!$B$116+0*Costeo!$C$116)+($A110*Costeo!$D$116+0*Costeo!$E$116)*0.05)*2,0)-8)+(0*Costeo!$B$131+0*Costeo!$C$131+$A110*Costeo!$D$131+0*Costeo!$E$131))*Costeo!$B$54+IF((0*Costeo!$B$36+0*Costeo!$C$36)&lt;=2000,10,IF((0*Costeo!$B$36+0*Costeo!$C$36)&lt;=5000,15,IF((0*Costeo!$B$36+0*Costeo!$C$36)&lt;=10000,60,110)))-10)*Costeo!$B$51,2))+(ROUND((MAX(0,(0*Costeo!$B$130+0*Costeo!$C$130+$A110*Costeo!$D$130+0*Costeo!$E$130)+20*2*2*Costeo!$B$69+30*(1/3600*Costeo!$B$55+5/3600*Costeo!$B$56)-Costeo!$B$58)+IF(AND((0*Costeo!$B$120+0*Costeo!$C$120+$A110*Costeo!$D$120+0*Costeo!$E$120)&lt;=1000000,(0*Costeo!$B$119+0*Costeo!$C$119+$A110*Costeo!$D$119+0*Costeo!$E$119)&lt;=1000),0,IF((0*Costeo!$B$120+0*Costeo!$C$120+$A110*Costeo!$D$120+0*Costeo!$E$120)&lt;=10000000,20,IF((0*Costeo!$B$120+0*Costeo!$C$120+$A110*Costeo!$D$120+0*Costeo!$E$120)&lt;=50000000,100,300)))+MAX(0,ROUNDUP((0*Costeo!$B$36+0*Costeo!$C$36+$A110*Costeo!$D$36+0*Costeo!$E$36)/5000,0)-1)*Costeo!$B$62+IF((0*Costeo!$B$36+0*Costeo!$C$36+$A110*Costeo!$D$36+0*Costeo!$E$36)&gt;5000,32-Costeo!$B$61,0))*Costeo!$B$51,2))))&gt;=0),$A110,1000000000)</f>
        <v>1000000000</v>
      </c>
      <c r="E110" s="121">
        <f>IF(AND($A110*Costeo!$E$36&lt;=10000,(($A110)*$D$12-$B$4-((ROUND((MAX(0,(0*Costeo!$B$117+0*Costeo!$C$117+0*Costeo!$D$117+$A110*Costeo!$E$117)-100)*Costeo!$B$53+MAX(0,(0*Costeo!$B$118+0*Costeo!$C$118+0*Costeo!$D$118+$A110*Costeo!$E$118)-250)*Costeo!$B$52+(MAX(0,ROUNDUP(((0*Costeo!$B$116+0*Costeo!$C$116)+(0*Costeo!$D$116+$A110*Costeo!$E$116)*0.05)*2,0)-8)+(0*Costeo!$B$131+0*Costeo!$C$131+0*Costeo!$D$131+$A110*Costeo!$E$131))*Costeo!$B$54+IF((0*Costeo!$B$36+0*Costeo!$C$36)&lt;=2000,10,IF((0*Costeo!$B$36+0*Costeo!$C$36)&lt;=5000,15,IF((0*Costeo!$B$36+0*Costeo!$C$36)&lt;=10000,60,110)))-10)*Costeo!$B$51,2))+(ROUND((MAX(0,(0*Costeo!$B$130+0*Costeo!$C$130+0*Costeo!$D$130+$A110*Costeo!$E$130)+20*2*2*Costeo!$B$69+30*(1/3600*Costeo!$B$55+5/3600*Costeo!$B$56)-Costeo!$B$58)+IF(AND((0*Costeo!$B$120+0*Costeo!$C$120+0*Costeo!$D$120+$A110*Costeo!$E$120)&lt;=1000000,(0*Costeo!$B$119+0*Costeo!$C$119+0*Costeo!$D$119+$A110*Costeo!$E$119)&lt;=1000),0,IF((0*Costeo!$B$120+0*Costeo!$C$120+0*Costeo!$D$120+$A110*Costeo!$E$120)&lt;=10000000,20,IF((0*Costeo!$B$120+0*Costeo!$C$120+0*Costeo!$D$120+$A110*Costeo!$E$120)&lt;=50000000,100,300)))+MAX(0,ROUNDUP((0*Costeo!$B$36+0*Costeo!$C$36+0*Costeo!$D$36+$A110*Costeo!$E$36)/5000,0)-1)*Costeo!$B$62+IF((0*Costeo!$B$36+0*Costeo!$C$36+0*Costeo!$D$36+$A110*Costeo!$E$36)&gt;5000,32-Costeo!$B$61,0))*Costeo!$B$51,2))))&gt;=0),$A110,1000000000)</f>
        <v>1000000000</v>
      </c>
    </row>
    <row r="111" hidden="1" outlineLevel="1" ht="30" customHeight="1" s="61">
      <c r="A111" s="52" t="n">
        <v>60</v>
      </c>
      <c r="B111" s="121">
        <f>IF(AND($A111*Costeo!$B$36&lt;=10000,(($A111)*$D$9-$B$4-((ROUND((MAX(0,($A111*Costeo!$B$117+0*Costeo!$C$117+0*Costeo!$D$117+0*Costeo!$E$117)-100)*Costeo!$B$53+MAX(0,($A111*Costeo!$B$118+0*Costeo!$C$118+0*Costeo!$D$118+0*Costeo!$E$118)-250)*Costeo!$B$52+(MAX(0,ROUNDUP((($A111*Costeo!$B$116+0*Costeo!$C$116)+(0*Costeo!$D$116+0*Costeo!$E$116)*0.05)*2,0)-8)+($A111*Costeo!$B$131+0*Costeo!$C$131+0*Costeo!$D$131+0*Costeo!$E$131))*Costeo!$B$54+IF(($A111*Costeo!$B$36+0*Costeo!$C$36)&lt;=2000,10,IF(($A111*Costeo!$B$36+0*Costeo!$C$36)&lt;=5000,15,IF(($A111*Costeo!$B$36+0*Costeo!$C$36)&lt;=10000,60,110)))-10)*Costeo!$B$51,2))+(ROUND((MAX(0,($A111*Costeo!$B$130+0*Costeo!$C$130+0*Costeo!$D$130+0*Costeo!$E$130)+20*2*2*Costeo!$B$69+30*(1/3600*Costeo!$B$55+5/3600*Costeo!$B$56)-Costeo!$B$58)+IF(AND(($A111*Costeo!$B$120+0*Costeo!$C$120+0*Costeo!$D$120+0*Costeo!$E$120)&lt;=1000000,($A111*Costeo!$B$119+0*Costeo!$C$119+0*Costeo!$D$119+0*Costeo!$E$119)&lt;=1000),0,IF(($A111*Costeo!$B$120+0*Costeo!$C$120+0*Costeo!$D$120+0*Costeo!$E$120)&lt;=10000000,20,IF(($A111*Costeo!$B$120+0*Costeo!$C$120+0*Costeo!$D$120+0*Costeo!$E$120)&lt;=50000000,100,300)))+MAX(0,ROUNDUP(($A111*Costeo!$B$36+0*Costeo!$C$36+0*Costeo!$D$36+0*Costeo!$E$36)/5000,0)-1)*Costeo!$B$62+IF(($A111*Costeo!$B$36+0*Costeo!$C$36+0*Costeo!$D$36+0*Costeo!$E$36)&gt;5000,32-Costeo!$B$61,0))*Costeo!$B$51,2))))&gt;=0),$A111,1000000000)</f>
        <v>60</v>
      </c>
      <c r="C111" s="121">
        <f>IF(AND($A111*Costeo!$C$36&lt;=10000,(($A111)*$D$10-$B$4-((ROUND((MAX(0,(0*Costeo!$B$117+$A111*Costeo!$C$117+0*Costeo!$D$117+0*Costeo!$E$117)-100)*Costeo!$B$53+MAX(0,(0*Costeo!$B$118+$A111*Costeo!$C$118+0*Costeo!$D$118+0*Costeo!$E$118)-250)*Costeo!$B$52+(MAX(0,ROUNDUP(((0*Costeo!$B$116+$A111*Costeo!$C$116)+(0*Costeo!$D$116+0*Costeo!$E$116)*0.05)*2,0)-8)+(0*Costeo!$B$131+$A111*Costeo!$C$131+0*Costeo!$D$131+0*Costeo!$E$131))*Costeo!$B$54+IF((0*Costeo!$B$36+$A111*Costeo!$C$36)&lt;=2000,10,IF((0*Costeo!$B$36+$A111*Costeo!$C$36)&lt;=5000,15,IF((0*Costeo!$B$36+$A111*Costeo!$C$36)&lt;=10000,60,110)))-10)*Costeo!$B$51,2))+(ROUND((MAX(0,(0*Costeo!$B$130+$A111*Costeo!$C$130+0*Costeo!$D$130+0*Costeo!$E$130)+20*2*2*Costeo!$B$69+30*(1/3600*Costeo!$B$55+5/3600*Costeo!$B$56)-Costeo!$B$58)+IF(AND((0*Costeo!$B$120+$A111*Costeo!$C$120+0*Costeo!$D$120+0*Costeo!$E$120)&lt;=1000000,(0*Costeo!$B$119+$A111*Costeo!$C$119+0*Costeo!$D$119+0*Costeo!$E$119)&lt;=1000),0,IF((0*Costeo!$B$120+$A111*Costeo!$C$120+0*Costeo!$D$120+0*Costeo!$E$120)&lt;=10000000,20,IF((0*Costeo!$B$120+$A111*Costeo!$C$120+0*Costeo!$D$120+0*Costeo!$E$120)&lt;=50000000,100,300)))+MAX(0,ROUNDUP((0*Costeo!$B$36+$A111*Costeo!$C$36+0*Costeo!$D$36+0*Costeo!$E$36)/5000,0)-1)*Costeo!$B$62+IF((0*Costeo!$B$36+$A111*Costeo!$C$36+0*Costeo!$D$36+0*Costeo!$E$36)&gt;5000,32-Costeo!$B$61,0))*Costeo!$B$51,2))))&gt;=0),$A111,1000000000)</f>
        <v>1000000000</v>
      </c>
      <c r="D111" s="121">
        <f>IF(AND($A111*Costeo!$D$36&lt;=10000,(($A111)*$D$11-$B$4-((ROUND((MAX(0,(0*Costeo!$B$117+0*Costeo!$C$117+$A111*Costeo!$D$117+0*Costeo!$E$117)-100)*Costeo!$B$53+MAX(0,(0*Costeo!$B$118+0*Costeo!$C$118+$A111*Costeo!$D$118+0*Costeo!$E$118)-250)*Costeo!$B$52+(MAX(0,ROUNDUP(((0*Costeo!$B$116+0*Costeo!$C$116)+($A111*Costeo!$D$116+0*Costeo!$E$116)*0.05)*2,0)-8)+(0*Costeo!$B$131+0*Costeo!$C$131+$A111*Costeo!$D$131+0*Costeo!$E$131))*Costeo!$B$54+IF((0*Costeo!$B$36+0*Costeo!$C$36)&lt;=2000,10,IF((0*Costeo!$B$36+0*Costeo!$C$36)&lt;=5000,15,IF((0*Costeo!$B$36+0*Costeo!$C$36)&lt;=10000,60,110)))-10)*Costeo!$B$51,2))+(ROUND((MAX(0,(0*Costeo!$B$130+0*Costeo!$C$130+$A111*Costeo!$D$130+0*Costeo!$E$130)+20*2*2*Costeo!$B$69+30*(1/3600*Costeo!$B$55+5/3600*Costeo!$B$56)-Costeo!$B$58)+IF(AND((0*Costeo!$B$120+0*Costeo!$C$120+$A111*Costeo!$D$120+0*Costeo!$E$120)&lt;=1000000,(0*Costeo!$B$119+0*Costeo!$C$119+$A111*Costeo!$D$119+0*Costeo!$E$119)&lt;=1000),0,IF((0*Costeo!$B$120+0*Costeo!$C$120+$A111*Costeo!$D$120+0*Costeo!$E$120)&lt;=10000000,20,IF((0*Costeo!$B$120+0*Costeo!$C$120+$A111*Costeo!$D$120+0*Costeo!$E$120)&lt;=50000000,100,300)))+MAX(0,ROUNDUP((0*Costeo!$B$36+0*Costeo!$C$36+$A111*Costeo!$D$36+0*Costeo!$E$36)/5000,0)-1)*Costeo!$B$62+IF((0*Costeo!$B$36+0*Costeo!$C$36+$A111*Costeo!$D$36+0*Costeo!$E$36)&gt;5000,32-Costeo!$B$61,0))*Costeo!$B$51,2))))&gt;=0),$A111,1000000000)</f>
        <v>1000000000</v>
      </c>
      <c r="E111" s="121">
        <f>IF(AND($A111*Costeo!$E$36&lt;=10000,(($A111)*$D$12-$B$4-((ROUND((MAX(0,(0*Costeo!$B$117+0*Costeo!$C$117+0*Costeo!$D$117+$A111*Costeo!$E$117)-100)*Costeo!$B$53+MAX(0,(0*Costeo!$B$118+0*Costeo!$C$118+0*Costeo!$D$118+$A111*Costeo!$E$118)-250)*Costeo!$B$52+(MAX(0,ROUNDUP(((0*Costeo!$B$116+0*Costeo!$C$116)+(0*Costeo!$D$116+$A111*Costeo!$E$116)*0.05)*2,0)-8)+(0*Costeo!$B$131+0*Costeo!$C$131+0*Costeo!$D$131+$A111*Costeo!$E$131))*Costeo!$B$54+IF((0*Costeo!$B$36+0*Costeo!$C$36)&lt;=2000,10,IF((0*Costeo!$B$36+0*Costeo!$C$36)&lt;=5000,15,IF((0*Costeo!$B$36+0*Costeo!$C$36)&lt;=10000,60,110)))-10)*Costeo!$B$51,2))+(ROUND((MAX(0,(0*Costeo!$B$130+0*Costeo!$C$130+0*Costeo!$D$130+$A111*Costeo!$E$130)+20*2*2*Costeo!$B$69+30*(1/3600*Costeo!$B$55+5/3600*Costeo!$B$56)-Costeo!$B$58)+IF(AND((0*Costeo!$B$120+0*Costeo!$C$120+0*Costeo!$D$120+$A111*Costeo!$E$120)&lt;=1000000,(0*Costeo!$B$119+0*Costeo!$C$119+0*Costeo!$D$119+$A111*Costeo!$E$119)&lt;=1000),0,IF((0*Costeo!$B$120+0*Costeo!$C$120+0*Costeo!$D$120+$A111*Costeo!$E$120)&lt;=10000000,20,IF((0*Costeo!$B$120+0*Costeo!$C$120+0*Costeo!$D$120+$A111*Costeo!$E$120)&lt;=50000000,100,300)))+MAX(0,ROUNDUP((0*Costeo!$B$36+0*Costeo!$C$36+0*Costeo!$D$36+$A111*Costeo!$E$36)/5000,0)-1)*Costeo!$B$62+IF((0*Costeo!$B$36+0*Costeo!$C$36+0*Costeo!$D$36+$A111*Costeo!$E$36)&gt;5000,32-Costeo!$B$61,0))*Costeo!$B$51,2))))&gt;=0),$A111,1000000000)</f>
        <v>1000000000</v>
      </c>
    </row>
    <row r="112" hidden="1" outlineLevel="1" ht="30" customHeight="1" s="61">
      <c r="A112" s="52" t="n">
        <v>61</v>
      </c>
      <c r="B112" s="121">
        <f>IF(AND($A112*Costeo!$B$36&lt;=10000,(($A112)*$D$9-$B$4-((ROUND((MAX(0,($A112*Costeo!$B$117+0*Costeo!$C$117+0*Costeo!$D$117+0*Costeo!$E$117)-100)*Costeo!$B$53+MAX(0,($A112*Costeo!$B$118+0*Costeo!$C$118+0*Costeo!$D$118+0*Costeo!$E$118)-250)*Costeo!$B$52+(MAX(0,ROUNDUP((($A112*Costeo!$B$116+0*Costeo!$C$116)+(0*Costeo!$D$116+0*Costeo!$E$116)*0.05)*2,0)-8)+($A112*Costeo!$B$131+0*Costeo!$C$131+0*Costeo!$D$131+0*Costeo!$E$131))*Costeo!$B$54+IF(($A112*Costeo!$B$36+0*Costeo!$C$36)&lt;=2000,10,IF(($A112*Costeo!$B$36+0*Costeo!$C$36)&lt;=5000,15,IF(($A112*Costeo!$B$36+0*Costeo!$C$36)&lt;=10000,60,110)))-10)*Costeo!$B$51,2))+(ROUND((MAX(0,($A112*Costeo!$B$130+0*Costeo!$C$130+0*Costeo!$D$130+0*Costeo!$E$130)+20*2*2*Costeo!$B$69+30*(1/3600*Costeo!$B$55+5/3600*Costeo!$B$56)-Costeo!$B$58)+IF(AND(($A112*Costeo!$B$120+0*Costeo!$C$120+0*Costeo!$D$120+0*Costeo!$E$120)&lt;=1000000,($A112*Costeo!$B$119+0*Costeo!$C$119+0*Costeo!$D$119+0*Costeo!$E$119)&lt;=1000),0,IF(($A112*Costeo!$B$120+0*Costeo!$C$120+0*Costeo!$D$120+0*Costeo!$E$120)&lt;=10000000,20,IF(($A112*Costeo!$B$120+0*Costeo!$C$120+0*Costeo!$D$120+0*Costeo!$E$120)&lt;=50000000,100,300)))+MAX(0,ROUNDUP(($A112*Costeo!$B$36+0*Costeo!$C$36+0*Costeo!$D$36+0*Costeo!$E$36)/5000,0)-1)*Costeo!$B$62+IF(($A112*Costeo!$B$36+0*Costeo!$C$36+0*Costeo!$D$36+0*Costeo!$E$36)&gt;5000,32-Costeo!$B$61,0))*Costeo!$B$51,2))))&gt;=0),$A112,1000000000)</f>
        <v>61</v>
      </c>
      <c r="C112" s="121">
        <f>IF(AND($A112*Costeo!$C$36&lt;=10000,(($A112)*$D$10-$B$4-((ROUND((MAX(0,(0*Costeo!$B$117+$A112*Costeo!$C$117+0*Costeo!$D$117+0*Costeo!$E$117)-100)*Costeo!$B$53+MAX(0,(0*Costeo!$B$118+$A112*Costeo!$C$118+0*Costeo!$D$118+0*Costeo!$E$118)-250)*Costeo!$B$52+(MAX(0,ROUNDUP(((0*Costeo!$B$116+$A112*Costeo!$C$116)+(0*Costeo!$D$116+0*Costeo!$E$116)*0.05)*2,0)-8)+(0*Costeo!$B$131+$A112*Costeo!$C$131+0*Costeo!$D$131+0*Costeo!$E$131))*Costeo!$B$54+IF((0*Costeo!$B$36+$A112*Costeo!$C$36)&lt;=2000,10,IF((0*Costeo!$B$36+$A112*Costeo!$C$36)&lt;=5000,15,IF((0*Costeo!$B$36+$A112*Costeo!$C$36)&lt;=10000,60,110)))-10)*Costeo!$B$51,2))+(ROUND((MAX(0,(0*Costeo!$B$130+$A112*Costeo!$C$130+0*Costeo!$D$130+0*Costeo!$E$130)+20*2*2*Costeo!$B$69+30*(1/3600*Costeo!$B$55+5/3600*Costeo!$B$56)-Costeo!$B$58)+IF(AND((0*Costeo!$B$120+$A112*Costeo!$C$120+0*Costeo!$D$120+0*Costeo!$E$120)&lt;=1000000,(0*Costeo!$B$119+$A112*Costeo!$C$119+0*Costeo!$D$119+0*Costeo!$E$119)&lt;=1000),0,IF((0*Costeo!$B$120+$A112*Costeo!$C$120+0*Costeo!$D$120+0*Costeo!$E$120)&lt;=10000000,20,IF((0*Costeo!$B$120+$A112*Costeo!$C$120+0*Costeo!$D$120+0*Costeo!$E$120)&lt;=50000000,100,300)))+MAX(0,ROUNDUP((0*Costeo!$B$36+$A112*Costeo!$C$36+0*Costeo!$D$36+0*Costeo!$E$36)/5000,0)-1)*Costeo!$B$62+IF((0*Costeo!$B$36+$A112*Costeo!$C$36+0*Costeo!$D$36+0*Costeo!$E$36)&gt;5000,32-Costeo!$B$61,0))*Costeo!$B$51,2))))&gt;=0),$A112,1000000000)</f>
        <v>1000000000</v>
      </c>
      <c r="D112" s="121">
        <f>IF(AND($A112*Costeo!$D$36&lt;=10000,(($A112)*$D$11-$B$4-((ROUND((MAX(0,(0*Costeo!$B$117+0*Costeo!$C$117+$A112*Costeo!$D$117+0*Costeo!$E$117)-100)*Costeo!$B$53+MAX(0,(0*Costeo!$B$118+0*Costeo!$C$118+$A112*Costeo!$D$118+0*Costeo!$E$118)-250)*Costeo!$B$52+(MAX(0,ROUNDUP(((0*Costeo!$B$116+0*Costeo!$C$116)+($A112*Costeo!$D$116+0*Costeo!$E$116)*0.05)*2,0)-8)+(0*Costeo!$B$131+0*Costeo!$C$131+$A112*Costeo!$D$131+0*Costeo!$E$131))*Costeo!$B$54+IF((0*Costeo!$B$36+0*Costeo!$C$36)&lt;=2000,10,IF((0*Costeo!$B$36+0*Costeo!$C$36)&lt;=5000,15,IF((0*Costeo!$B$36+0*Costeo!$C$36)&lt;=10000,60,110)))-10)*Costeo!$B$51,2))+(ROUND((MAX(0,(0*Costeo!$B$130+0*Costeo!$C$130+$A112*Costeo!$D$130+0*Costeo!$E$130)+20*2*2*Costeo!$B$69+30*(1/3600*Costeo!$B$55+5/3600*Costeo!$B$56)-Costeo!$B$58)+IF(AND((0*Costeo!$B$120+0*Costeo!$C$120+$A112*Costeo!$D$120+0*Costeo!$E$120)&lt;=1000000,(0*Costeo!$B$119+0*Costeo!$C$119+$A112*Costeo!$D$119+0*Costeo!$E$119)&lt;=1000),0,IF((0*Costeo!$B$120+0*Costeo!$C$120+$A112*Costeo!$D$120+0*Costeo!$E$120)&lt;=10000000,20,IF((0*Costeo!$B$120+0*Costeo!$C$120+$A112*Costeo!$D$120+0*Costeo!$E$120)&lt;=50000000,100,300)))+MAX(0,ROUNDUP((0*Costeo!$B$36+0*Costeo!$C$36+$A112*Costeo!$D$36+0*Costeo!$E$36)/5000,0)-1)*Costeo!$B$62+IF((0*Costeo!$B$36+0*Costeo!$C$36+$A112*Costeo!$D$36+0*Costeo!$E$36)&gt;5000,32-Costeo!$B$61,0))*Costeo!$B$51,2))))&gt;=0),$A112,1000000000)</f>
        <v>1000000000</v>
      </c>
      <c r="E112" s="121">
        <f>IF(AND($A112*Costeo!$E$36&lt;=10000,(($A112)*$D$12-$B$4-((ROUND((MAX(0,(0*Costeo!$B$117+0*Costeo!$C$117+0*Costeo!$D$117+$A112*Costeo!$E$117)-100)*Costeo!$B$53+MAX(0,(0*Costeo!$B$118+0*Costeo!$C$118+0*Costeo!$D$118+$A112*Costeo!$E$118)-250)*Costeo!$B$52+(MAX(0,ROUNDUP(((0*Costeo!$B$116+0*Costeo!$C$116)+(0*Costeo!$D$116+$A112*Costeo!$E$116)*0.05)*2,0)-8)+(0*Costeo!$B$131+0*Costeo!$C$131+0*Costeo!$D$131+$A112*Costeo!$E$131))*Costeo!$B$54+IF((0*Costeo!$B$36+0*Costeo!$C$36)&lt;=2000,10,IF((0*Costeo!$B$36+0*Costeo!$C$36)&lt;=5000,15,IF((0*Costeo!$B$36+0*Costeo!$C$36)&lt;=10000,60,110)))-10)*Costeo!$B$51,2))+(ROUND((MAX(0,(0*Costeo!$B$130+0*Costeo!$C$130+0*Costeo!$D$130+$A112*Costeo!$E$130)+20*2*2*Costeo!$B$69+30*(1/3600*Costeo!$B$55+5/3600*Costeo!$B$56)-Costeo!$B$58)+IF(AND((0*Costeo!$B$120+0*Costeo!$C$120+0*Costeo!$D$120+$A112*Costeo!$E$120)&lt;=1000000,(0*Costeo!$B$119+0*Costeo!$C$119+0*Costeo!$D$119+$A112*Costeo!$E$119)&lt;=1000),0,IF((0*Costeo!$B$120+0*Costeo!$C$120+0*Costeo!$D$120+$A112*Costeo!$E$120)&lt;=10000000,20,IF((0*Costeo!$B$120+0*Costeo!$C$120+0*Costeo!$D$120+$A112*Costeo!$E$120)&lt;=50000000,100,300)))+MAX(0,ROUNDUP((0*Costeo!$B$36+0*Costeo!$C$36+0*Costeo!$D$36+$A112*Costeo!$E$36)/5000,0)-1)*Costeo!$B$62+IF((0*Costeo!$B$36+0*Costeo!$C$36+0*Costeo!$D$36+$A112*Costeo!$E$36)&gt;5000,32-Costeo!$B$61,0))*Costeo!$B$51,2))))&gt;=0),$A112,1000000000)</f>
        <v>1000000000</v>
      </c>
    </row>
    <row r="113" hidden="1" outlineLevel="1" ht="30" customHeight="1" s="61">
      <c r="A113" s="52" t="n">
        <v>62</v>
      </c>
      <c r="B113" s="121">
        <f>IF(AND($A113*Costeo!$B$36&lt;=10000,(($A113)*$D$9-$B$4-((ROUND((MAX(0,($A113*Costeo!$B$117+0*Costeo!$C$117+0*Costeo!$D$117+0*Costeo!$E$117)-100)*Costeo!$B$53+MAX(0,($A113*Costeo!$B$118+0*Costeo!$C$118+0*Costeo!$D$118+0*Costeo!$E$118)-250)*Costeo!$B$52+(MAX(0,ROUNDUP((($A113*Costeo!$B$116+0*Costeo!$C$116)+(0*Costeo!$D$116+0*Costeo!$E$116)*0.05)*2,0)-8)+($A113*Costeo!$B$131+0*Costeo!$C$131+0*Costeo!$D$131+0*Costeo!$E$131))*Costeo!$B$54+IF(($A113*Costeo!$B$36+0*Costeo!$C$36)&lt;=2000,10,IF(($A113*Costeo!$B$36+0*Costeo!$C$36)&lt;=5000,15,IF(($A113*Costeo!$B$36+0*Costeo!$C$36)&lt;=10000,60,110)))-10)*Costeo!$B$51,2))+(ROUND((MAX(0,($A113*Costeo!$B$130+0*Costeo!$C$130+0*Costeo!$D$130+0*Costeo!$E$130)+20*2*2*Costeo!$B$69+30*(1/3600*Costeo!$B$55+5/3600*Costeo!$B$56)-Costeo!$B$58)+IF(AND(($A113*Costeo!$B$120+0*Costeo!$C$120+0*Costeo!$D$120+0*Costeo!$E$120)&lt;=1000000,($A113*Costeo!$B$119+0*Costeo!$C$119+0*Costeo!$D$119+0*Costeo!$E$119)&lt;=1000),0,IF(($A113*Costeo!$B$120+0*Costeo!$C$120+0*Costeo!$D$120+0*Costeo!$E$120)&lt;=10000000,20,IF(($A113*Costeo!$B$120+0*Costeo!$C$120+0*Costeo!$D$120+0*Costeo!$E$120)&lt;=50000000,100,300)))+MAX(0,ROUNDUP(($A113*Costeo!$B$36+0*Costeo!$C$36+0*Costeo!$D$36+0*Costeo!$E$36)/5000,0)-1)*Costeo!$B$62+IF(($A113*Costeo!$B$36+0*Costeo!$C$36+0*Costeo!$D$36+0*Costeo!$E$36)&gt;5000,32-Costeo!$B$61,0))*Costeo!$B$51,2))))&gt;=0),$A113,1000000000)</f>
        <v>62</v>
      </c>
      <c r="C113" s="121">
        <f>IF(AND($A113*Costeo!$C$36&lt;=10000,(($A113)*$D$10-$B$4-((ROUND((MAX(0,(0*Costeo!$B$117+$A113*Costeo!$C$117+0*Costeo!$D$117+0*Costeo!$E$117)-100)*Costeo!$B$53+MAX(0,(0*Costeo!$B$118+$A113*Costeo!$C$118+0*Costeo!$D$118+0*Costeo!$E$118)-250)*Costeo!$B$52+(MAX(0,ROUNDUP(((0*Costeo!$B$116+$A113*Costeo!$C$116)+(0*Costeo!$D$116+0*Costeo!$E$116)*0.05)*2,0)-8)+(0*Costeo!$B$131+$A113*Costeo!$C$131+0*Costeo!$D$131+0*Costeo!$E$131))*Costeo!$B$54+IF((0*Costeo!$B$36+$A113*Costeo!$C$36)&lt;=2000,10,IF((0*Costeo!$B$36+$A113*Costeo!$C$36)&lt;=5000,15,IF((0*Costeo!$B$36+$A113*Costeo!$C$36)&lt;=10000,60,110)))-10)*Costeo!$B$51,2))+(ROUND((MAX(0,(0*Costeo!$B$130+$A113*Costeo!$C$130+0*Costeo!$D$130+0*Costeo!$E$130)+20*2*2*Costeo!$B$69+30*(1/3600*Costeo!$B$55+5/3600*Costeo!$B$56)-Costeo!$B$58)+IF(AND((0*Costeo!$B$120+$A113*Costeo!$C$120+0*Costeo!$D$120+0*Costeo!$E$120)&lt;=1000000,(0*Costeo!$B$119+$A113*Costeo!$C$119+0*Costeo!$D$119+0*Costeo!$E$119)&lt;=1000),0,IF((0*Costeo!$B$120+$A113*Costeo!$C$120+0*Costeo!$D$120+0*Costeo!$E$120)&lt;=10000000,20,IF((0*Costeo!$B$120+$A113*Costeo!$C$120+0*Costeo!$D$120+0*Costeo!$E$120)&lt;=50000000,100,300)))+MAX(0,ROUNDUP((0*Costeo!$B$36+$A113*Costeo!$C$36+0*Costeo!$D$36+0*Costeo!$E$36)/5000,0)-1)*Costeo!$B$62+IF((0*Costeo!$B$36+$A113*Costeo!$C$36+0*Costeo!$D$36+0*Costeo!$E$36)&gt;5000,32-Costeo!$B$61,0))*Costeo!$B$51,2))))&gt;=0),$A113,1000000000)</f>
        <v>1000000000</v>
      </c>
      <c r="D113" s="121">
        <f>IF(AND($A113*Costeo!$D$36&lt;=10000,(($A113)*$D$11-$B$4-((ROUND((MAX(0,(0*Costeo!$B$117+0*Costeo!$C$117+$A113*Costeo!$D$117+0*Costeo!$E$117)-100)*Costeo!$B$53+MAX(0,(0*Costeo!$B$118+0*Costeo!$C$118+$A113*Costeo!$D$118+0*Costeo!$E$118)-250)*Costeo!$B$52+(MAX(0,ROUNDUP(((0*Costeo!$B$116+0*Costeo!$C$116)+($A113*Costeo!$D$116+0*Costeo!$E$116)*0.05)*2,0)-8)+(0*Costeo!$B$131+0*Costeo!$C$131+$A113*Costeo!$D$131+0*Costeo!$E$131))*Costeo!$B$54+IF((0*Costeo!$B$36+0*Costeo!$C$36)&lt;=2000,10,IF((0*Costeo!$B$36+0*Costeo!$C$36)&lt;=5000,15,IF((0*Costeo!$B$36+0*Costeo!$C$36)&lt;=10000,60,110)))-10)*Costeo!$B$51,2))+(ROUND((MAX(0,(0*Costeo!$B$130+0*Costeo!$C$130+$A113*Costeo!$D$130+0*Costeo!$E$130)+20*2*2*Costeo!$B$69+30*(1/3600*Costeo!$B$55+5/3600*Costeo!$B$56)-Costeo!$B$58)+IF(AND((0*Costeo!$B$120+0*Costeo!$C$120+$A113*Costeo!$D$120+0*Costeo!$E$120)&lt;=1000000,(0*Costeo!$B$119+0*Costeo!$C$119+$A113*Costeo!$D$119+0*Costeo!$E$119)&lt;=1000),0,IF((0*Costeo!$B$120+0*Costeo!$C$120+$A113*Costeo!$D$120+0*Costeo!$E$120)&lt;=10000000,20,IF((0*Costeo!$B$120+0*Costeo!$C$120+$A113*Costeo!$D$120+0*Costeo!$E$120)&lt;=50000000,100,300)))+MAX(0,ROUNDUP((0*Costeo!$B$36+0*Costeo!$C$36+$A113*Costeo!$D$36+0*Costeo!$E$36)/5000,0)-1)*Costeo!$B$62+IF((0*Costeo!$B$36+0*Costeo!$C$36+$A113*Costeo!$D$36+0*Costeo!$E$36)&gt;5000,32-Costeo!$B$61,0))*Costeo!$B$51,2))))&gt;=0),$A113,1000000000)</f>
        <v>1000000000</v>
      </c>
      <c r="E113" s="121">
        <f>IF(AND($A113*Costeo!$E$36&lt;=10000,(($A113)*$D$12-$B$4-((ROUND((MAX(0,(0*Costeo!$B$117+0*Costeo!$C$117+0*Costeo!$D$117+$A113*Costeo!$E$117)-100)*Costeo!$B$53+MAX(0,(0*Costeo!$B$118+0*Costeo!$C$118+0*Costeo!$D$118+$A113*Costeo!$E$118)-250)*Costeo!$B$52+(MAX(0,ROUNDUP(((0*Costeo!$B$116+0*Costeo!$C$116)+(0*Costeo!$D$116+$A113*Costeo!$E$116)*0.05)*2,0)-8)+(0*Costeo!$B$131+0*Costeo!$C$131+0*Costeo!$D$131+$A113*Costeo!$E$131))*Costeo!$B$54+IF((0*Costeo!$B$36+0*Costeo!$C$36)&lt;=2000,10,IF((0*Costeo!$B$36+0*Costeo!$C$36)&lt;=5000,15,IF((0*Costeo!$B$36+0*Costeo!$C$36)&lt;=10000,60,110)))-10)*Costeo!$B$51,2))+(ROUND((MAX(0,(0*Costeo!$B$130+0*Costeo!$C$130+0*Costeo!$D$130+$A113*Costeo!$E$130)+20*2*2*Costeo!$B$69+30*(1/3600*Costeo!$B$55+5/3600*Costeo!$B$56)-Costeo!$B$58)+IF(AND((0*Costeo!$B$120+0*Costeo!$C$120+0*Costeo!$D$120+$A113*Costeo!$E$120)&lt;=1000000,(0*Costeo!$B$119+0*Costeo!$C$119+0*Costeo!$D$119+$A113*Costeo!$E$119)&lt;=1000),0,IF((0*Costeo!$B$120+0*Costeo!$C$120+0*Costeo!$D$120+$A113*Costeo!$E$120)&lt;=10000000,20,IF((0*Costeo!$B$120+0*Costeo!$C$120+0*Costeo!$D$120+$A113*Costeo!$E$120)&lt;=50000000,100,300)))+MAX(0,ROUNDUP((0*Costeo!$B$36+0*Costeo!$C$36+0*Costeo!$D$36+$A113*Costeo!$E$36)/5000,0)-1)*Costeo!$B$62+IF((0*Costeo!$B$36+0*Costeo!$C$36+0*Costeo!$D$36+$A113*Costeo!$E$36)&gt;5000,32-Costeo!$B$61,0))*Costeo!$B$51,2))))&gt;=0),$A113,1000000000)</f>
        <v>1000000000</v>
      </c>
    </row>
    <row r="114" hidden="1" outlineLevel="1" ht="30" customHeight="1" s="61">
      <c r="A114" s="52" t="n">
        <v>63</v>
      </c>
      <c r="B114" s="121">
        <f>IF(AND($A114*Costeo!$B$36&lt;=10000,(($A114)*$D$9-$B$4-((ROUND((MAX(0,($A114*Costeo!$B$117+0*Costeo!$C$117+0*Costeo!$D$117+0*Costeo!$E$117)-100)*Costeo!$B$53+MAX(0,($A114*Costeo!$B$118+0*Costeo!$C$118+0*Costeo!$D$118+0*Costeo!$E$118)-250)*Costeo!$B$52+(MAX(0,ROUNDUP((($A114*Costeo!$B$116+0*Costeo!$C$116)+(0*Costeo!$D$116+0*Costeo!$E$116)*0.05)*2,0)-8)+($A114*Costeo!$B$131+0*Costeo!$C$131+0*Costeo!$D$131+0*Costeo!$E$131))*Costeo!$B$54+IF(($A114*Costeo!$B$36+0*Costeo!$C$36)&lt;=2000,10,IF(($A114*Costeo!$B$36+0*Costeo!$C$36)&lt;=5000,15,IF(($A114*Costeo!$B$36+0*Costeo!$C$36)&lt;=10000,60,110)))-10)*Costeo!$B$51,2))+(ROUND((MAX(0,($A114*Costeo!$B$130+0*Costeo!$C$130+0*Costeo!$D$130+0*Costeo!$E$130)+20*2*2*Costeo!$B$69+30*(1/3600*Costeo!$B$55+5/3600*Costeo!$B$56)-Costeo!$B$58)+IF(AND(($A114*Costeo!$B$120+0*Costeo!$C$120+0*Costeo!$D$120+0*Costeo!$E$120)&lt;=1000000,($A114*Costeo!$B$119+0*Costeo!$C$119+0*Costeo!$D$119+0*Costeo!$E$119)&lt;=1000),0,IF(($A114*Costeo!$B$120+0*Costeo!$C$120+0*Costeo!$D$120+0*Costeo!$E$120)&lt;=10000000,20,IF(($A114*Costeo!$B$120+0*Costeo!$C$120+0*Costeo!$D$120+0*Costeo!$E$120)&lt;=50000000,100,300)))+MAX(0,ROUNDUP(($A114*Costeo!$B$36+0*Costeo!$C$36+0*Costeo!$D$36+0*Costeo!$E$36)/5000,0)-1)*Costeo!$B$62+IF(($A114*Costeo!$B$36+0*Costeo!$C$36+0*Costeo!$D$36+0*Costeo!$E$36)&gt;5000,32-Costeo!$B$61,0))*Costeo!$B$51,2))))&gt;=0),$A114,1000000000)</f>
        <v>63</v>
      </c>
      <c r="C114" s="121">
        <f>IF(AND($A114*Costeo!$C$36&lt;=10000,(($A114)*$D$10-$B$4-((ROUND((MAX(0,(0*Costeo!$B$117+$A114*Costeo!$C$117+0*Costeo!$D$117+0*Costeo!$E$117)-100)*Costeo!$B$53+MAX(0,(0*Costeo!$B$118+$A114*Costeo!$C$118+0*Costeo!$D$118+0*Costeo!$E$118)-250)*Costeo!$B$52+(MAX(0,ROUNDUP(((0*Costeo!$B$116+$A114*Costeo!$C$116)+(0*Costeo!$D$116+0*Costeo!$E$116)*0.05)*2,0)-8)+(0*Costeo!$B$131+$A114*Costeo!$C$131+0*Costeo!$D$131+0*Costeo!$E$131))*Costeo!$B$54+IF((0*Costeo!$B$36+$A114*Costeo!$C$36)&lt;=2000,10,IF((0*Costeo!$B$36+$A114*Costeo!$C$36)&lt;=5000,15,IF((0*Costeo!$B$36+$A114*Costeo!$C$36)&lt;=10000,60,110)))-10)*Costeo!$B$51,2))+(ROUND((MAX(0,(0*Costeo!$B$130+$A114*Costeo!$C$130+0*Costeo!$D$130+0*Costeo!$E$130)+20*2*2*Costeo!$B$69+30*(1/3600*Costeo!$B$55+5/3600*Costeo!$B$56)-Costeo!$B$58)+IF(AND((0*Costeo!$B$120+$A114*Costeo!$C$120+0*Costeo!$D$120+0*Costeo!$E$120)&lt;=1000000,(0*Costeo!$B$119+$A114*Costeo!$C$119+0*Costeo!$D$119+0*Costeo!$E$119)&lt;=1000),0,IF((0*Costeo!$B$120+$A114*Costeo!$C$120+0*Costeo!$D$120+0*Costeo!$E$120)&lt;=10000000,20,IF((0*Costeo!$B$120+$A114*Costeo!$C$120+0*Costeo!$D$120+0*Costeo!$E$120)&lt;=50000000,100,300)))+MAX(0,ROUNDUP((0*Costeo!$B$36+$A114*Costeo!$C$36+0*Costeo!$D$36+0*Costeo!$E$36)/5000,0)-1)*Costeo!$B$62+IF((0*Costeo!$B$36+$A114*Costeo!$C$36+0*Costeo!$D$36+0*Costeo!$E$36)&gt;5000,32-Costeo!$B$61,0))*Costeo!$B$51,2))))&gt;=0),$A114,1000000000)</f>
        <v>1000000000</v>
      </c>
      <c r="D114" s="121">
        <f>IF(AND($A114*Costeo!$D$36&lt;=10000,(($A114)*$D$11-$B$4-((ROUND((MAX(0,(0*Costeo!$B$117+0*Costeo!$C$117+$A114*Costeo!$D$117+0*Costeo!$E$117)-100)*Costeo!$B$53+MAX(0,(0*Costeo!$B$118+0*Costeo!$C$118+$A114*Costeo!$D$118+0*Costeo!$E$118)-250)*Costeo!$B$52+(MAX(0,ROUNDUP(((0*Costeo!$B$116+0*Costeo!$C$116)+($A114*Costeo!$D$116+0*Costeo!$E$116)*0.05)*2,0)-8)+(0*Costeo!$B$131+0*Costeo!$C$131+$A114*Costeo!$D$131+0*Costeo!$E$131))*Costeo!$B$54+IF((0*Costeo!$B$36+0*Costeo!$C$36)&lt;=2000,10,IF((0*Costeo!$B$36+0*Costeo!$C$36)&lt;=5000,15,IF((0*Costeo!$B$36+0*Costeo!$C$36)&lt;=10000,60,110)))-10)*Costeo!$B$51,2))+(ROUND((MAX(0,(0*Costeo!$B$130+0*Costeo!$C$130+$A114*Costeo!$D$130+0*Costeo!$E$130)+20*2*2*Costeo!$B$69+30*(1/3600*Costeo!$B$55+5/3600*Costeo!$B$56)-Costeo!$B$58)+IF(AND((0*Costeo!$B$120+0*Costeo!$C$120+$A114*Costeo!$D$120+0*Costeo!$E$120)&lt;=1000000,(0*Costeo!$B$119+0*Costeo!$C$119+$A114*Costeo!$D$119+0*Costeo!$E$119)&lt;=1000),0,IF((0*Costeo!$B$120+0*Costeo!$C$120+$A114*Costeo!$D$120+0*Costeo!$E$120)&lt;=10000000,20,IF((0*Costeo!$B$120+0*Costeo!$C$120+$A114*Costeo!$D$120+0*Costeo!$E$120)&lt;=50000000,100,300)))+MAX(0,ROUNDUP((0*Costeo!$B$36+0*Costeo!$C$36+$A114*Costeo!$D$36+0*Costeo!$E$36)/5000,0)-1)*Costeo!$B$62+IF((0*Costeo!$B$36+0*Costeo!$C$36+$A114*Costeo!$D$36+0*Costeo!$E$36)&gt;5000,32-Costeo!$B$61,0))*Costeo!$B$51,2))))&gt;=0),$A114,1000000000)</f>
        <v>1000000000</v>
      </c>
      <c r="E114" s="121">
        <f>IF(AND($A114*Costeo!$E$36&lt;=10000,(($A114)*$D$12-$B$4-((ROUND((MAX(0,(0*Costeo!$B$117+0*Costeo!$C$117+0*Costeo!$D$117+$A114*Costeo!$E$117)-100)*Costeo!$B$53+MAX(0,(0*Costeo!$B$118+0*Costeo!$C$118+0*Costeo!$D$118+$A114*Costeo!$E$118)-250)*Costeo!$B$52+(MAX(0,ROUNDUP(((0*Costeo!$B$116+0*Costeo!$C$116)+(0*Costeo!$D$116+$A114*Costeo!$E$116)*0.05)*2,0)-8)+(0*Costeo!$B$131+0*Costeo!$C$131+0*Costeo!$D$131+$A114*Costeo!$E$131))*Costeo!$B$54+IF((0*Costeo!$B$36+0*Costeo!$C$36)&lt;=2000,10,IF((0*Costeo!$B$36+0*Costeo!$C$36)&lt;=5000,15,IF((0*Costeo!$B$36+0*Costeo!$C$36)&lt;=10000,60,110)))-10)*Costeo!$B$51,2))+(ROUND((MAX(0,(0*Costeo!$B$130+0*Costeo!$C$130+0*Costeo!$D$130+$A114*Costeo!$E$130)+20*2*2*Costeo!$B$69+30*(1/3600*Costeo!$B$55+5/3600*Costeo!$B$56)-Costeo!$B$58)+IF(AND((0*Costeo!$B$120+0*Costeo!$C$120+0*Costeo!$D$120+$A114*Costeo!$E$120)&lt;=1000000,(0*Costeo!$B$119+0*Costeo!$C$119+0*Costeo!$D$119+$A114*Costeo!$E$119)&lt;=1000),0,IF((0*Costeo!$B$120+0*Costeo!$C$120+0*Costeo!$D$120+$A114*Costeo!$E$120)&lt;=10000000,20,IF((0*Costeo!$B$120+0*Costeo!$C$120+0*Costeo!$D$120+$A114*Costeo!$E$120)&lt;=50000000,100,300)))+MAX(0,ROUNDUP((0*Costeo!$B$36+0*Costeo!$C$36+0*Costeo!$D$36+$A114*Costeo!$E$36)/5000,0)-1)*Costeo!$B$62+IF((0*Costeo!$B$36+0*Costeo!$C$36+0*Costeo!$D$36+$A114*Costeo!$E$36)&gt;5000,32-Costeo!$B$61,0))*Costeo!$B$51,2))))&gt;=0),$A114,1000000000)</f>
        <v>1000000000</v>
      </c>
    </row>
    <row r="115" hidden="1" outlineLevel="1" ht="30" customHeight="1" s="61">
      <c r="A115" s="52" t="n">
        <v>64</v>
      </c>
      <c r="B115" s="121">
        <f>IF(AND($A115*Costeo!$B$36&lt;=10000,(($A115)*$D$9-$B$4-((ROUND((MAX(0,($A115*Costeo!$B$117+0*Costeo!$C$117+0*Costeo!$D$117+0*Costeo!$E$117)-100)*Costeo!$B$53+MAX(0,($A115*Costeo!$B$118+0*Costeo!$C$118+0*Costeo!$D$118+0*Costeo!$E$118)-250)*Costeo!$B$52+(MAX(0,ROUNDUP((($A115*Costeo!$B$116+0*Costeo!$C$116)+(0*Costeo!$D$116+0*Costeo!$E$116)*0.05)*2,0)-8)+($A115*Costeo!$B$131+0*Costeo!$C$131+0*Costeo!$D$131+0*Costeo!$E$131))*Costeo!$B$54+IF(($A115*Costeo!$B$36+0*Costeo!$C$36)&lt;=2000,10,IF(($A115*Costeo!$B$36+0*Costeo!$C$36)&lt;=5000,15,IF(($A115*Costeo!$B$36+0*Costeo!$C$36)&lt;=10000,60,110)))-10)*Costeo!$B$51,2))+(ROUND((MAX(0,($A115*Costeo!$B$130+0*Costeo!$C$130+0*Costeo!$D$130+0*Costeo!$E$130)+20*2*2*Costeo!$B$69+30*(1/3600*Costeo!$B$55+5/3600*Costeo!$B$56)-Costeo!$B$58)+IF(AND(($A115*Costeo!$B$120+0*Costeo!$C$120+0*Costeo!$D$120+0*Costeo!$E$120)&lt;=1000000,($A115*Costeo!$B$119+0*Costeo!$C$119+0*Costeo!$D$119+0*Costeo!$E$119)&lt;=1000),0,IF(($A115*Costeo!$B$120+0*Costeo!$C$120+0*Costeo!$D$120+0*Costeo!$E$120)&lt;=10000000,20,IF(($A115*Costeo!$B$120+0*Costeo!$C$120+0*Costeo!$D$120+0*Costeo!$E$120)&lt;=50000000,100,300)))+MAX(0,ROUNDUP(($A115*Costeo!$B$36+0*Costeo!$C$36+0*Costeo!$D$36+0*Costeo!$E$36)/5000,0)-1)*Costeo!$B$62+IF(($A115*Costeo!$B$36+0*Costeo!$C$36+0*Costeo!$D$36+0*Costeo!$E$36)&gt;5000,32-Costeo!$B$61,0))*Costeo!$B$51,2))))&gt;=0),$A115,1000000000)</f>
        <v>64</v>
      </c>
      <c r="C115" s="121">
        <f>IF(AND($A115*Costeo!$C$36&lt;=10000,(($A115)*$D$10-$B$4-((ROUND((MAX(0,(0*Costeo!$B$117+$A115*Costeo!$C$117+0*Costeo!$D$117+0*Costeo!$E$117)-100)*Costeo!$B$53+MAX(0,(0*Costeo!$B$118+$A115*Costeo!$C$118+0*Costeo!$D$118+0*Costeo!$E$118)-250)*Costeo!$B$52+(MAX(0,ROUNDUP(((0*Costeo!$B$116+$A115*Costeo!$C$116)+(0*Costeo!$D$116+0*Costeo!$E$116)*0.05)*2,0)-8)+(0*Costeo!$B$131+$A115*Costeo!$C$131+0*Costeo!$D$131+0*Costeo!$E$131))*Costeo!$B$54+IF((0*Costeo!$B$36+$A115*Costeo!$C$36)&lt;=2000,10,IF((0*Costeo!$B$36+$A115*Costeo!$C$36)&lt;=5000,15,IF((0*Costeo!$B$36+$A115*Costeo!$C$36)&lt;=10000,60,110)))-10)*Costeo!$B$51,2))+(ROUND((MAX(0,(0*Costeo!$B$130+$A115*Costeo!$C$130+0*Costeo!$D$130+0*Costeo!$E$130)+20*2*2*Costeo!$B$69+30*(1/3600*Costeo!$B$55+5/3600*Costeo!$B$56)-Costeo!$B$58)+IF(AND((0*Costeo!$B$120+$A115*Costeo!$C$120+0*Costeo!$D$120+0*Costeo!$E$120)&lt;=1000000,(0*Costeo!$B$119+$A115*Costeo!$C$119+0*Costeo!$D$119+0*Costeo!$E$119)&lt;=1000),0,IF((0*Costeo!$B$120+$A115*Costeo!$C$120+0*Costeo!$D$120+0*Costeo!$E$120)&lt;=10000000,20,IF((0*Costeo!$B$120+$A115*Costeo!$C$120+0*Costeo!$D$120+0*Costeo!$E$120)&lt;=50000000,100,300)))+MAX(0,ROUNDUP((0*Costeo!$B$36+$A115*Costeo!$C$36+0*Costeo!$D$36+0*Costeo!$E$36)/5000,0)-1)*Costeo!$B$62+IF((0*Costeo!$B$36+$A115*Costeo!$C$36+0*Costeo!$D$36+0*Costeo!$E$36)&gt;5000,32-Costeo!$B$61,0))*Costeo!$B$51,2))))&gt;=0),$A115,1000000000)</f>
        <v>1000000000</v>
      </c>
      <c r="D115" s="121">
        <f>IF(AND($A115*Costeo!$D$36&lt;=10000,(($A115)*$D$11-$B$4-((ROUND((MAX(0,(0*Costeo!$B$117+0*Costeo!$C$117+$A115*Costeo!$D$117+0*Costeo!$E$117)-100)*Costeo!$B$53+MAX(0,(0*Costeo!$B$118+0*Costeo!$C$118+$A115*Costeo!$D$118+0*Costeo!$E$118)-250)*Costeo!$B$52+(MAX(0,ROUNDUP(((0*Costeo!$B$116+0*Costeo!$C$116)+($A115*Costeo!$D$116+0*Costeo!$E$116)*0.05)*2,0)-8)+(0*Costeo!$B$131+0*Costeo!$C$131+$A115*Costeo!$D$131+0*Costeo!$E$131))*Costeo!$B$54+IF((0*Costeo!$B$36+0*Costeo!$C$36)&lt;=2000,10,IF((0*Costeo!$B$36+0*Costeo!$C$36)&lt;=5000,15,IF((0*Costeo!$B$36+0*Costeo!$C$36)&lt;=10000,60,110)))-10)*Costeo!$B$51,2))+(ROUND((MAX(0,(0*Costeo!$B$130+0*Costeo!$C$130+$A115*Costeo!$D$130+0*Costeo!$E$130)+20*2*2*Costeo!$B$69+30*(1/3600*Costeo!$B$55+5/3600*Costeo!$B$56)-Costeo!$B$58)+IF(AND((0*Costeo!$B$120+0*Costeo!$C$120+$A115*Costeo!$D$120+0*Costeo!$E$120)&lt;=1000000,(0*Costeo!$B$119+0*Costeo!$C$119+$A115*Costeo!$D$119+0*Costeo!$E$119)&lt;=1000),0,IF((0*Costeo!$B$120+0*Costeo!$C$120+$A115*Costeo!$D$120+0*Costeo!$E$120)&lt;=10000000,20,IF((0*Costeo!$B$120+0*Costeo!$C$120+$A115*Costeo!$D$120+0*Costeo!$E$120)&lt;=50000000,100,300)))+MAX(0,ROUNDUP((0*Costeo!$B$36+0*Costeo!$C$36+$A115*Costeo!$D$36+0*Costeo!$E$36)/5000,0)-1)*Costeo!$B$62+IF((0*Costeo!$B$36+0*Costeo!$C$36+$A115*Costeo!$D$36+0*Costeo!$E$36)&gt;5000,32-Costeo!$B$61,0))*Costeo!$B$51,2))))&gt;=0),$A115,1000000000)</f>
        <v>1000000000</v>
      </c>
      <c r="E115" s="121">
        <f>IF(AND($A115*Costeo!$E$36&lt;=10000,(($A115)*$D$12-$B$4-((ROUND((MAX(0,(0*Costeo!$B$117+0*Costeo!$C$117+0*Costeo!$D$117+$A115*Costeo!$E$117)-100)*Costeo!$B$53+MAX(0,(0*Costeo!$B$118+0*Costeo!$C$118+0*Costeo!$D$118+$A115*Costeo!$E$118)-250)*Costeo!$B$52+(MAX(0,ROUNDUP(((0*Costeo!$B$116+0*Costeo!$C$116)+(0*Costeo!$D$116+$A115*Costeo!$E$116)*0.05)*2,0)-8)+(0*Costeo!$B$131+0*Costeo!$C$131+0*Costeo!$D$131+$A115*Costeo!$E$131))*Costeo!$B$54+IF((0*Costeo!$B$36+0*Costeo!$C$36)&lt;=2000,10,IF((0*Costeo!$B$36+0*Costeo!$C$36)&lt;=5000,15,IF((0*Costeo!$B$36+0*Costeo!$C$36)&lt;=10000,60,110)))-10)*Costeo!$B$51,2))+(ROUND((MAX(0,(0*Costeo!$B$130+0*Costeo!$C$130+0*Costeo!$D$130+$A115*Costeo!$E$130)+20*2*2*Costeo!$B$69+30*(1/3600*Costeo!$B$55+5/3600*Costeo!$B$56)-Costeo!$B$58)+IF(AND((0*Costeo!$B$120+0*Costeo!$C$120+0*Costeo!$D$120+$A115*Costeo!$E$120)&lt;=1000000,(0*Costeo!$B$119+0*Costeo!$C$119+0*Costeo!$D$119+$A115*Costeo!$E$119)&lt;=1000),0,IF((0*Costeo!$B$120+0*Costeo!$C$120+0*Costeo!$D$120+$A115*Costeo!$E$120)&lt;=10000000,20,IF((0*Costeo!$B$120+0*Costeo!$C$120+0*Costeo!$D$120+$A115*Costeo!$E$120)&lt;=50000000,100,300)))+MAX(0,ROUNDUP((0*Costeo!$B$36+0*Costeo!$C$36+0*Costeo!$D$36+$A115*Costeo!$E$36)/5000,0)-1)*Costeo!$B$62+IF((0*Costeo!$B$36+0*Costeo!$C$36+0*Costeo!$D$36+$A115*Costeo!$E$36)&gt;5000,32-Costeo!$B$61,0))*Costeo!$B$51,2))))&gt;=0),$A115,1000000000)</f>
        <v>1000000000</v>
      </c>
    </row>
    <row r="116" hidden="1" outlineLevel="1" ht="30" customHeight="1" s="61">
      <c r="A116" s="52" t="n">
        <v>65</v>
      </c>
      <c r="B116" s="121">
        <f>IF(AND($A116*Costeo!$B$36&lt;=10000,(($A116)*$D$9-$B$4-((ROUND((MAX(0,($A116*Costeo!$B$117+0*Costeo!$C$117+0*Costeo!$D$117+0*Costeo!$E$117)-100)*Costeo!$B$53+MAX(0,($A116*Costeo!$B$118+0*Costeo!$C$118+0*Costeo!$D$118+0*Costeo!$E$118)-250)*Costeo!$B$52+(MAX(0,ROUNDUP((($A116*Costeo!$B$116+0*Costeo!$C$116)+(0*Costeo!$D$116+0*Costeo!$E$116)*0.05)*2,0)-8)+($A116*Costeo!$B$131+0*Costeo!$C$131+0*Costeo!$D$131+0*Costeo!$E$131))*Costeo!$B$54+IF(($A116*Costeo!$B$36+0*Costeo!$C$36)&lt;=2000,10,IF(($A116*Costeo!$B$36+0*Costeo!$C$36)&lt;=5000,15,IF(($A116*Costeo!$B$36+0*Costeo!$C$36)&lt;=10000,60,110)))-10)*Costeo!$B$51,2))+(ROUND((MAX(0,($A116*Costeo!$B$130+0*Costeo!$C$130+0*Costeo!$D$130+0*Costeo!$E$130)+20*2*2*Costeo!$B$69+30*(1/3600*Costeo!$B$55+5/3600*Costeo!$B$56)-Costeo!$B$58)+IF(AND(($A116*Costeo!$B$120+0*Costeo!$C$120+0*Costeo!$D$120+0*Costeo!$E$120)&lt;=1000000,($A116*Costeo!$B$119+0*Costeo!$C$119+0*Costeo!$D$119+0*Costeo!$E$119)&lt;=1000),0,IF(($A116*Costeo!$B$120+0*Costeo!$C$120+0*Costeo!$D$120+0*Costeo!$E$120)&lt;=10000000,20,IF(($A116*Costeo!$B$120+0*Costeo!$C$120+0*Costeo!$D$120+0*Costeo!$E$120)&lt;=50000000,100,300)))+MAX(0,ROUNDUP(($A116*Costeo!$B$36+0*Costeo!$C$36+0*Costeo!$D$36+0*Costeo!$E$36)/5000,0)-1)*Costeo!$B$62+IF(($A116*Costeo!$B$36+0*Costeo!$C$36+0*Costeo!$D$36+0*Costeo!$E$36)&gt;5000,32-Costeo!$B$61,0))*Costeo!$B$51,2))))&gt;=0),$A116,1000000000)</f>
        <v>65</v>
      </c>
      <c r="C116" s="121">
        <f>IF(AND($A116*Costeo!$C$36&lt;=10000,(($A116)*$D$10-$B$4-((ROUND((MAX(0,(0*Costeo!$B$117+$A116*Costeo!$C$117+0*Costeo!$D$117+0*Costeo!$E$117)-100)*Costeo!$B$53+MAX(0,(0*Costeo!$B$118+$A116*Costeo!$C$118+0*Costeo!$D$118+0*Costeo!$E$118)-250)*Costeo!$B$52+(MAX(0,ROUNDUP(((0*Costeo!$B$116+$A116*Costeo!$C$116)+(0*Costeo!$D$116+0*Costeo!$E$116)*0.05)*2,0)-8)+(0*Costeo!$B$131+$A116*Costeo!$C$131+0*Costeo!$D$131+0*Costeo!$E$131))*Costeo!$B$54+IF((0*Costeo!$B$36+$A116*Costeo!$C$36)&lt;=2000,10,IF((0*Costeo!$B$36+$A116*Costeo!$C$36)&lt;=5000,15,IF((0*Costeo!$B$36+$A116*Costeo!$C$36)&lt;=10000,60,110)))-10)*Costeo!$B$51,2))+(ROUND((MAX(0,(0*Costeo!$B$130+$A116*Costeo!$C$130+0*Costeo!$D$130+0*Costeo!$E$130)+20*2*2*Costeo!$B$69+30*(1/3600*Costeo!$B$55+5/3600*Costeo!$B$56)-Costeo!$B$58)+IF(AND((0*Costeo!$B$120+$A116*Costeo!$C$120+0*Costeo!$D$120+0*Costeo!$E$120)&lt;=1000000,(0*Costeo!$B$119+$A116*Costeo!$C$119+0*Costeo!$D$119+0*Costeo!$E$119)&lt;=1000),0,IF((0*Costeo!$B$120+$A116*Costeo!$C$120+0*Costeo!$D$120+0*Costeo!$E$120)&lt;=10000000,20,IF((0*Costeo!$B$120+$A116*Costeo!$C$120+0*Costeo!$D$120+0*Costeo!$E$120)&lt;=50000000,100,300)))+MAX(0,ROUNDUP((0*Costeo!$B$36+$A116*Costeo!$C$36+0*Costeo!$D$36+0*Costeo!$E$36)/5000,0)-1)*Costeo!$B$62+IF((0*Costeo!$B$36+$A116*Costeo!$C$36+0*Costeo!$D$36+0*Costeo!$E$36)&gt;5000,32-Costeo!$B$61,0))*Costeo!$B$51,2))))&gt;=0),$A116,1000000000)</f>
        <v>1000000000</v>
      </c>
      <c r="D116" s="121">
        <f>IF(AND($A116*Costeo!$D$36&lt;=10000,(($A116)*$D$11-$B$4-((ROUND((MAX(0,(0*Costeo!$B$117+0*Costeo!$C$117+$A116*Costeo!$D$117+0*Costeo!$E$117)-100)*Costeo!$B$53+MAX(0,(0*Costeo!$B$118+0*Costeo!$C$118+$A116*Costeo!$D$118+0*Costeo!$E$118)-250)*Costeo!$B$52+(MAX(0,ROUNDUP(((0*Costeo!$B$116+0*Costeo!$C$116)+($A116*Costeo!$D$116+0*Costeo!$E$116)*0.05)*2,0)-8)+(0*Costeo!$B$131+0*Costeo!$C$131+$A116*Costeo!$D$131+0*Costeo!$E$131))*Costeo!$B$54+IF((0*Costeo!$B$36+0*Costeo!$C$36)&lt;=2000,10,IF((0*Costeo!$B$36+0*Costeo!$C$36)&lt;=5000,15,IF((0*Costeo!$B$36+0*Costeo!$C$36)&lt;=10000,60,110)))-10)*Costeo!$B$51,2))+(ROUND((MAX(0,(0*Costeo!$B$130+0*Costeo!$C$130+$A116*Costeo!$D$130+0*Costeo!$E$130)+20*2*2*Costeo!$B$69+30*(1/3600*Costeo!$B$55+5/3600*Costeo!$B$56)-Costeo!$B$58)+IF(AND((0*Costeo!$B$120+0*Costeo!$C$120+$A116*Costeo!$D$120+0*Costeo!$E$120)&lt;=1000000,(0*Costeo!$B$119+0*Costeo!$C$119+$A116*Costeo!$D$119+0*Costeo!$E$119)&lt;=1000),0,IF((0*Costeo!$B$120+0*Costeo!$C$120+$A116*Costeo!$D$120+0*Costeo!$E$120)&lt;=10000000,20,IF((0*Costeo!$B$120+0*Costeo!$C$120+$A116*Costeo!$D$120+0*Costeo!$E$120)&lt;=50000000,100,300)))+MAX(0,ROUNDUP((0*Costeo!$B$36+0*Costeo!$C$36+$A116*Costeo!$D$36+0*Costeo!$E$36)/5000,0)-1)*Costeo!$B$62+IF((0*Costeo!$B$36+0*Costeo!$C$36+$A116*Costeo!$D$36+0*Costeo!$E$36)&gt;5000,32-Costeo!$B$61,0))*Costeo!$B$51,2))))&gt;=0),$A116,1000000000)</f>
        <v>1000000000</v>
      </c>
      <c r="E116" s="121">
        <f>IF(AND($A116*Costeo!$E$36&lt;=10000,(($A116)*$D$12-$B$4-((ROUND((MAX(0,(0*Costeo!$B$117+0*Costeo!$C$117+0*Costeo!$D$117+$A116*Costeo!$E$117)-100)*Costeo!$B$53+MAX(0,(0*Costeo!$B$118+0*Costeo!$C$118+0*Costeo!$D$118+$A116*Costeo!$E$118)-250)*Costeo!$B$52+(MAX(0,ROUNDUP(((0*Costeo!$B$116+0*Costeo!$C$116)+(0*Costeo!$D$116+$A116*Costeo!$E$116)*0.05)*2,0)-8)+(0*Costeo!$B$131+0*Costeo!$C$131+0*Costeo!$D$131+$A116*Costeo!$E$131))*Costeo!$B$54+IF((0*Costeo!$B$36+0*Costeo!$C$36)&lt;=2000,10,IF((0*Costeo!$B$36+0*Costeo!$C$36)&lt;=5000,15,IF((0*Costeo!$B$36+0*Costeo!$C$36)&lt;=10000,60,110)))-10)*Costeo!$B$51,2))+(ROUND((MAX(0,(0*Costeo!$B$130+0*Costeo!$C$130+0*Costeo!$D$130+$A116*Costeo!$E$130)+20*2*2*Costeo!$B$69+30*(1/3600*Costeo!$B$55+5/3600*Costeo!$B$56)-Costeo!$B$58)+IF(AND((0*Costeo!$B$120+0*Costeo!$C$120+0*Costeo!$D$120+$A116*Costeo!$E$120)&lt;=1000000,(0*Costeo!$B$119+0*Costeo!$C$119+0*Costeo!$D$119+$A116*Costeo!$E$119)&lt;=1000),0,IF((0*Costeo!$B$120+0*Costeo!$C$120+0*Costeo!$D$120+$A116*Costeo!$E$120)&lt;=10000000,20,IF((0*Costeo!$B$120+0*Costeo!$C$120+0*Costeo!$D$120+$A116*Costeo!$E$120)&lt;=50000000,100,300)))+MAX(0,ROUNDUP((0*Costeo!$B$36+0*Costeo!$C$36+0*Costeo!$D$36+$A116*Costeo!$E$36)/5000,0)-1)*Costeo!$B$62+IF((0*Costeo!$B$36+0*Costeo!$C$36+0*Costeo!$D$36+$A116*Costeo!$E$36)&gt;5000,32-Costeo!$B$61,0))*Costeo!$B$51,2))))&gt;=0),$A116,1000000000)</f>
        <v>1000000000</v>
      </c>
    </row>
    <row r="117" hidden="1" outlineLevel="1" ht="30" customHeight="1" s="61">
      <c r="A117" s="52" t="n">
        <v>66</v>
      </c>
      <c r="B117" s="121">
        <f>IF(AND($A117*Costeo!$B$36&lt;=10000,(($A117)*$D$9-$B$4-((ROUND((MAX(0,($A117*Costeo!$B$117+0*Costeo!$C$117+0*Costeo!$D$117+0*Costeo!$E$117)-100)*Costeo!$B$53+MAX(0,($A117*Costeo!$B$118+0*Costeo!$C$118+0*Costeo!$D$118+0*Costeo!$E$118)-250)*Costeo!$B$52+(MAX(0,ROUNDUP((($A117*Costeo!$B$116+0*Costeo!$C$116)+(0*Costeo!$D$116+0*Costeo!$E$116)*0.05)*2,0)-8)+($A117*Costeo!$B$131+0*Costeo!$C$131+0*Costeo!$D$131+0*Costeo!$E$131))*Costeo!$B$54+IF(($A117*Costeo!$B$36+0*Costeo!$C$36)&lt;=2000,10,IF(($A117*Costeo!$B$36+0*Costeo!$C$36)&lt;=5000,15,IF(($A117*Costeo!$B$36+0*Costeo!$C$36)&lt;=10000,60,110)))-10)*Costeo!$B$51,2))+(ROUND((MAX(0,($A117*Costeo!$B$130+0*Costeo!$C$130+0*Costeo!$D$130+0*Costeo!$E$130)+20*2*2*Costeo!$B$69+30*(1/3600*Costeo!$B$55+5/3600*Costeo!$B$56)-Costeo!$B$58)+IF(AND(($A117*Costeo!$B$120+0*Costeo!$C$120+0*Costeo!$D$120+0*Costeo!$E$120)&lt;=1000000,($A117*Costeo!$B$119+0*Costeo!$C$119+0*Costeo!$D$119+0*Costeo!$E$119)&lt;=1000),0,IF(($A117*Costeo!$B$120+0*Costeo!$C$120+0*Costeo!$D$120+0*Costeo!$E$120)&lt;=10000000,20,IF(($A117*Costeo!$B$120+0*Costeo!$C$120+0*Costeo!$D$120+0*Costeo!$E$120)&lt;=50000000,100,300)))+MAX(0,ROUNDUP(($A117*Costeo!$B$36+0*Costeo!$C$36+0*Costeo!$D$36+0*Costeo!$E$36)/5000,0)-1)*Costeo!$B$62+IF(($A117*Costeo!$B$36+0*Costeo!$C$36+0*Costeo!$D$36+0*Costeo!$E$36)&gt;5000,32-Costeo!$B$61,0))*Costeo!$B$51,2))))&gt;=0),$A117,1000000000)</f>
        <v>66</v>
      </c>
      <c r="C117" s="121">
        <f>IF(AND($A117*Costeo!$C$36&lt;=10000,(($A117)*$D$10-$B$4-((ROUND((MAX(0,(0*Costeo!$B$117+$A117*Costeo!$C$117+0*Costeo!$D$117+0*Costeo!$E$117)-100)*Costeo!$B$53+MAX(0,(0*Costeo!$B$118+$A117*Costeo!$C$118+0*Costeo!$D$118+0*Costeo!$E$118)-250)*Costeo!$B$52+(MAX(0,ROUNDUP(((0*Costeo!$B$116+$A117*Costeo!$C$116)+(0*Costeo!$D$116+0*Costeo!$E$116)*0.05)*2,0)-8)+(0*Costeo!$B$131+$A117*Costeo!$C$131+0*Costeo!$D$131+0*Costeo!$E$131))*Costeo!$B$54+IF((0*Costeo!$B$36+$A117*Costeo!$C$36)&lt;=2000,10,IF((0*Costeo!$B$36+$A117*Costeo!$C$36)&lt;=5000,15,IF((0*Costeo!$B$36+$A117*Costeo!$C$36)&lt;=10000,60,110)))-10)*Costeo!$B$51,2))+(ROUND((MAX(0,(0*Costeo!$B$130+$A117*Costeo!$C$130+0*Costeo!$D$130+0*Costeo!$E$130)+20*2*2*Costeo!$B$69+30*(1/3600*Costeo!$B$55+5/3600*Costeo!$B$56)-Costeo!$B$58)+IF(AND((0*Costeo!$B$120+$A117*Costeo!$C$120+0*Costeo!$D$120+0*Costeo!$E$120)&lt;=1000000,(0*Costeo!$B$119+$A117*Costeo!$C$119+0*Costeo!$D$119+0*Costeo!$E$119)&lt;=1000),0,IF((0*Costeo!$B$120+$A117*Costeo!$C$120+0*Costeo!$D$120+0*Costeo!$E$120)&lt;=10000000,20,IF((0*Costeo!$B$120+$A117*Costeo!$C$120+0*Costeo!$D$120+0*Costeo!$E$120)&lt;=50000000,100,300)))+MAX(0,ROUNDUP((0*Costeo!$B$36+$A117*Costeo!$C$36+0*Costeo!$D$36+0*Costeo!$E$36)/5000,0)-1)*Costeo!$B$62+IF((0*Costeo!$B$36+$A117*Costeo!$C$36+0*Costeo!$D$36+0*Costeo!$E$36)&gt;5000,32-Costeo!$B$61,0))*Costeo!$B$51,2))))&gt;=0),$A117,1000000000)</f>
        <v>1000000000</v>
      </c>
      <c r="D117" s="121">
        <f>IF(AND($A117*Costeo!$D$36&lt;=10000,(($A117)*$D$11-$B$4-((ROUND((MAX(0,(0*Costeo!$B$117+0*Costeo!$C$117+$A117*Costeo!$D$117+0*Costeo!$E$117)-100)*Costeo!$B$53+MAX(0,(0*Costeo!$B$118+0*Costeo!$C$118+$A117*Costeo!$D$118+0*Costeo!$E$118)-250)*Costeo!$B$52+(MAX(0,ROUNDUP(((0*Costeo!$B$116+0*Costeo!$C$116)+($A117*Costeo!$D$116+0*Costeo!$E$116)*0.05)*2,0)-8)+(0*Costeo!$B$131+0*Costeo!$C$131+$A117*Costeo!$D$131+0*Costeo!$E$131))*Costeo!$B$54+IF((0*Costeo!$B$36+0*Costeo!$C$36)&lt;=2000,10,IF((0*Costeo!$B$36+0*Costeo!$C$36)&lt;=5000,15,IF((0*Costeo!$B$36+0*Costeo!$C$36)&lt;=10000,60,110)))-10)*Costeo!$B$51,2))+(ROUND((MAX(0,(0*Costeo!$B$130+0*Costeo!$C$130+$A117*Costeo!$D$130+0*Costeo!$E$130)+20*2*2*Costeo!$B$69+30*(1/3600*Costeo!$B$55+5/3600*Costeo!$B$56)-Costeo!$B$58)+IF(AND((0*Costeo!$B$120+0*Costeo!$C$120+$A117*Costeo!$D$120+0*Costeo!$E$120)&lt;=1000000,(0*Costeo!$B$119+0*Costeo!$C$119+$A117*Costeo!$D$119+0*Costeo!$E$119)&lt;=1000),0,IF((0*Costeo!$B$120+0*Costeo!$C$120+$A117*Costeo!$D$120+0*Costeo!$E$120)&lt;=10000000,20,IF((0*Costeo!$B$120+0*Costeo!$C$120+$A117*Costeo!$D$120+0*Costeo!$E$120)&lt;=50000000,100,300)))+MAX(0,ROUNDUP((0*Costeo!$B$36+0*Costeo!$C$36+$A117*Costeo!$D$36+0*Costeo!$E$36)/5000,0)-1)*Costeo!$B$62+IF((0*Costeo!$B$36+0*Costeo!$C$36+$A117*Costeo!$D$36+0*Costeo!$E$36)&gt;5000,32-Costeo!$B$61,0))*Costeo!$B$51,2))))&gt;=0),$A117,1000000000)</f>
        <v>1000000000</v>
      </c>
      <c r="E117" s="121">
        <f>IF(AND($A117*Costeo!$E$36&lt;=10000,(($A117)*$D$12-$B$4-((ROUND((MAX(0,(0*Costeo!$B$117+0*Costeo!$C$117+0*Costeo!$D$117+$A117*Costeo!$E$117)-100)*Costeo!$B$53+MAX(0,(0*Costeo!$B$118+0*Costeo!$C$118+0*Costeo!$D$118+$A117*Costeo!$E$118)-250)*Costeo!$B$52+(MAX(0,ROUNDUP(((0*Costeo!$B$116+0*Costeo!$C$116)+(0*Costeo!$D$116+$A117*Costeo!$E$116)*0.05)*2,0)-8)+(0*Costeo!$B$131+0*Costeo!$C$131+0*Costeo!$D$131+$A117*Costeo!$E$131))*Costeo!$B$54+IF((0*Costeo!$B$36+0*Costeo!$C$36)&lt;=2000,10,IF((0*Costeo!$B$36+0*Costeo!$C$36)&lt;=5000,15,IF((0*Costeo!$B$36+0*Costeo!$C$36)&lt;=10000,60,110)))-10)*Costeo!$B$51,2))+(ROUND((MAX(0,(0*Costeo!$B$130+0*Costeo!$C$130+0*Costeo!$D$130+$A117*Costeo!$E$130)+20*2*2*Costeo!$B$69+30*(1/3600*Costeo!$B$55+5/3600*Costeo!$B$56)-Costeo!$B$58)+IF(AND((0*Costeo!$B$120+0*Costeo!$C$120+0*Costeo!$D$120+$A117*Costeo!$E$120)&lt;=1000000,(0*Costeo!$B$119+0*Costeo!$C$119+0*Costeo!$D$119+$A117*Costeo!$E$119)&lt;=1000),0,IF((0*Costeo!$B$120+0*Costeo!$C$120+0*Costeo!$D$120+$A117*Costeo!$E$120)&lt;=10000000,20,IF((0*Costeo!$B$120+0*Costeo!$C$120+0*Costeo!$D$120+$A117*Costeo!$E$120)&lt;=50000000,100,300)))+MAX(0,ROUNDUP((0*Costeo!$B$36+0*Costeo!$C$36+0*Costeo!$D$36+$A117*Costeo!$E$36)/5000,0)-1)*Costeo!$B$62+IF((0*Costeo!$B$36+0*Costeo!$C$36+0*Costeo!$D$36+$A117*Costeo!$E$36)&gt;5000,32-Costeo!$B$61,0))*Costeo!$B$51,2))))&gt;=0),$A117,1000000000)</f>
        <v>1000000000</v>
      </c>
    </row>
    <row r="118" hidden="1" outlineLevel="1" ht="30" customHeight="1" s="61">
      <c r="A118" s="52" t="n">
        <v>67</v>
      </c>
      <c r="B118" s="121">
        <f>IF(AND($A118*Costeo!$B$36&lt;=10000,(($A118)*$D$9-$B$4-((ROUND((MAX(0,($A118*Costeo!$B$117+0*Costeo!$C$117+0*Costeo!$D$117+0*Costeo!$E$117)-100)*Costeo!$B$53+MAX(0,($A118*Costeo!$B$118+0*Costeo!$C$118+0*Costeo!$D$118+0*Costeo!$E$118)-250)*Costeo!$B$52+(MAX(0,ROUNDUP((($A118*Costeo!$B$116+0*Costeo!$C$116)+(0*Costeo!$D$116+0*Costeo!$E$116)*0.05)*2,0)-8)+($A118*Costeo!$B$131+0*Costeo!$C$131+0*Costeo!$D$131+0*Costeo!$E$131))*Costeo!$B$54+IF(($A118*Costeo!$B$36+0*Costeo!$C$36)&lt;=2000,10,IF(($A118*Costeo!$B$36+0*Costeo!$C$36)&lt;=5000,15,IF(($A118*Costeo!$B$36+0*Costeo!$C$36)&lt;=10000,60,110)))-10)*Costeo!$B$51,2))+(ROUND((MAX(0,($A118*Costeo!$B$130+0*Costeo!$C$130+0*Costeo!$D$130+0*Costeo!$E$130)+20*2*2*Costeo!$B$69+30*(1/3600*Costeo!$B$55+5/3600*Costeo!$B$56)-Costeo!$B$58)+IF(AND(($A118*Costeo!$B$120+0*Costeo!$C$120+0*Costeo!$D$120+0*Costeo!$E$120)&lt;=1000000,($A118*Costeo!$B$119+0*Costeo!$C$119+0*Costeo!$D$119+0*Costeo!$E$119)&lt;=1000),0,IF(($A118*Costeo!$B$120+0*Costeo!$C$120+0*Costeo!$D$120+0*Costeo!$E$120)&lt;=10000000,20,IF(($A118*Costeo!$B$120+0*Costeo!$C$120+0*Costeo!$D$120+0*Costeo!$E$120)&lt;=50000000,100,300)))+MAX(0,ROUNDUP(($A118*Costeo!$B$36+0*Costeo!$C$36+0*Costeo!$D$36+0*Costeo!$E$36)/5000,0)-1)*Costeo!$B$62+IF(($A118*Costeo!$B$36+0*Costeo!$C$36+0*Costeo!$D$36+0*Costeo!$E$36)&gt;5000,32-Costeo!$B$61,0))*Costeo!$B$51,2))))&gt;=0),$A118,1000000000)</f>
        <v>67</v>
      </c>
      <c r="C118" s="121">
        <f>IF(AND($A118*Costeo!$C$36&lt;=10000,(($A118)*$D$10-$B$4-((ROUND((MAX(0,(0*Costeo!$B$117+$A118*Costeo!$C$117+0*Costeo!$D$117+0*Costeo!$E$117)-100)*Costeo!$B$53+MAX(0,(0*Costeo!$B$118+$A118*Costeo!$C$118+0*Costeo!$D$118+0*Costeo!$E$118)-250)*Costeo!$B$52+(MAX(0,ROUNDUP(((0*Costeo!$B$116+$A118*Costeo!$C$116)+(0*Costeo!$D$116+0*Costeo!$E$116)*0.05)*2,0)-8)+(0*Costeo!$B$131+$A118*Costeo!$C$131+0*Costeo!$D$131+0*Costeo!$E$131))*Costeo!$B$54+IF((0*Costeo!$B$36+$A118*Costeo!$C$36)&lt;=2000,10,IF((0*Costeo!$B$36+$A118*Costeo!$C$36)&lt;=5000,15,IF((0*Costeo!$B$36+$A118*Costeo!$C$36)&lt;=10000,60,110)))-10)*Costeo!$B$51,2))+(ROUND((MAX(0,(0*Costeo!$B$130+$A118*Costeo!$C$130+0*Costeo!$D$130+0*Costeo!$E$130)+20*2*2*Costeo!$B$69+30*(1/3600*Costeo!$B$55+5/3600*Costeo!$B$56)-Costeo!$B$58)+IF(AND((0*Costeo!$B$120+$A118*Costeo!$C$120+0*Costeo!$D$120+0*Costeo!$E$120)&lt;=1000000,(0*Costeo!$B$119+$A118*Costeo!$C$119+0*Costeo!$D$119+0*Costeo!$E$119)&lt;=1000),0,IF((0*Costeo!$B$120+$A118*Costeo!$C$120+0*Costeo!$D$120+0*Costeo!$E$120)&lt;=10000000,20,IF((0*Costeo!$B$120+$A118*Costeo!$C$120+0*Costeo!$D$120+0*Costeo!$E$120)&lt;=50000000,100,300)))+MAX(0,ROUNDUP((0*Costeo!$B$36+$A118*Costeo!$C$36+0*Costeo!$D$36+0*Costeo!$E$36)/5000,0)-1)*Costeo!$B$62+IF((0*Costeo!$B$36+$A118*Costeo!$C$36+0*Costeo!$D$36+0*Costeo!$E$36)&gt;5000,32-Costeo!$B$61,0))*Costeo!$B$51,2))))&gt;=0),$A118,1000000000)</f>
        <v>1000000000</v>
      </c>
      <c r="D118" s="121">
        <f>IF(AND($A118*Costeo!$D$36&lt;=10000,(($A118)*$D$11-$B$4-((ROUND((MAX(0,(0*Costeo!$B$117+0*Costeo!$C$117+$A118*Costeo!$D$117+0*Costeo!$E$117)-100)*Costeo!$B$53+MAX(0,(0*Costeo!$B$118+0*Costeo!$C$118+$A118*Costeo!$D$118+0*Costeo!$E$118)-250)*Costeo!$B$52+(MAX(0,ROUNDUP(((0*Costeo!$B$116+0*Costeo!$C$116)+($A118*Costeo!$D$116+0*Costeo!$E$116)*0.05)*2,0)-8)+(0*Costeo!$B$131+0*Costeo!$C$131+$A118*Costeo!$D$131+0*Costeo!$E$131))*Costeo!$B$54+IF((0*Costeo!$B$36+0*Costeo!$C$36)&lt;=2000,10,IF((0*Costeo!$B$36+0*Costeo!$C$36)&lt;=5000,15,IF((0*Costeo!$B$36+0*Costeo!$C$36)&lt;=10000,60,110)))-10)*Costeo!$B$51,2))+(ROUND((MAX(0,(0*Costeo!$B$130+0*Costeo!$C$130+$A118*Costeo!$D$130+0*Costeo!$E$130)+20*2*2*Costeo!$B$69+30*(1/3600*Costeo!$B$55+5/3600*Costeo!$B$56)-Costeo!$B$58)+IF(AND((0*Costeo!$B$120+0*Costeo!$C$120+$A118*Costeo!$D$120+0*Costeo!$E$120)&lt;=1000000,(0*Costeo!$B$119+0*Costeo!$C$119+$A118*Costeo!$D$119+0*Costeo!$E$119)&lt;=1000),0,IF((0*Costeo!$B$120+0*Costeo!$C$120+$A118*Costeo!$D$120+0*Costeo!$E$120)&lt;=10000000,20,IF((0*Costeo!$B$120+0*Costeo!$C$120+$A118*Costeo!$D$120+0*Costeo!$E$120)&lt;=50000000,100,300)))+MAX(0,ROUNDUP((0*Costeo!$B$36+0*Costeo!$C$36+$A118*Costeo!$D$36+0*Costeo!$E$36)/5000,0)-1)*Costeo!$B$62+IF((0*Costeo!$B$36+0*Costeo!$C$36+$A118*Costeo!$D$36+0*Costeo!$E$36)&gt;5000,32-Costeo!$B$61,0))*Costeo!$B$51,2))))&gt;=0),$A118,1000000000)</f>
        <v>1000000000</v>
      </c>
      <c r="E118" s="121">
        <f>IF(AND($A118*Costeo!$E$36&lt;=10000,(($A118)*$D$12-$B$4-((ROUND((MAX(0,(0*Costeo!$B$117+0*Costeo!$C$117+0*Costeo!$D$117+$A118*Costeo!$E$117)-100)*Costeo!$B$53+MAX(0,(0*Costeo!$B$118+0*Costeo!$C$118+0*Costeo!$D$118+$A118*Costeo!$E$118)-250)*Costeo!$B$52+(MAX(0,ROUNDUP(((0*Costeo!$B$116+0*Costeo!$C$116)+(0*Costeo!$D$116+$A118*Costeo!$E$116)*0.05)*2,0)-8)+(0*Costeo!$B$131+0*Costeo!$C$131+0*Costeo!$D$131+$A118*Costeo!$E$131))*Costeo!$B$54+IF((0*Costeo!$B$36+0*Costeo!$C$36)&lt;=2000,10,IF((0*Costeo!$B$36+0*Costeo!$C$36)&lt;=5000,15,IF((0*Costeo!$B$36+0*Costeo!$C$36)&lt;=10000,60,110)))-10)*Costeo!$B$51,2))+(ROUND((MAX(0,(0*Costeo!$B$130+0*Costeo!$C$130+0*Costeo!$D$130+$A118*Costeo!$E$130)+20*2*2*Costeo!$B$69+30*(1/3600*Costeo!$B$55+5/3600*Costeo!$B$56)-Costeo!$B$58)+IF(AND((0*Costeo!$B$120+0*Costeo!$C$120+0*Costeo!$D$120+$A118*Costeo!$E$120)&lt;=1000000,(0*Costeo!$B$119+0*Costeo!$C$119+0*Costeo!$D$119+$A118*Costeo!$E$119)&lt;=1000),0,IF((0*Costeo!$B$120+0*Costeo!$C$120+0*Costeo!$D$120+$A118*Costeo!$E$120)&lt;=10000000,20,IF((0*Costeo!$B$120+0*Costeo!$C$120+0*Costeo!$D$120+$A118*Costeo!$E$120)&lt;=50000000,100,300)))+MAX(0,ROUNDUP((0*Costeo!$B$36+0*Costeo!$C$36+0*Costeo!$D$36+$A118*Costeo!$E$36)/5000,0)-1)*Costeo!$B$62+IF((0*Costeo!$B$36+0*Costeo!$C$36+0*Costeo!$D$36+$A118*Costeo!$E$36)&gt;5000,32-Costeo!$B$61,0))*Costeo!$B$51,2))))&gt;=0),$A118,1000000000)</f>
        <v>1000000000</v>
      </c>
    </row>
    <row r="119" hidden="1" outlineLevel="1" ht="30" customHeight="1" s="61">
      <c r="A119" s="52" t="n">
        <v>68</v>
      </c>
      <c r="B119" s="121">
        <f>IF(AND($A119*Costeo!$B$36&lt;=10000,(($A119)*$D$9-$B$4-((ROUND((MAX(0,($A119*Costeo!$B$117+0*Costeo!$C$117+0*Costeo!$D$117+0*Costeo!$E$117)-100)*Costeo!$B$53+MAX(0,($A119*Costeo!$B$118+0*Costeo!$C$118+0*Costeo!$D$118+0*Costeo!$E$118)-250)*Costeo!$B$52+(MAX(0,ROUNDUP((($A119*Costeo!$B$116+0*Costeo!$C$116)+(0*Costeo!$D$116+0*Costeo!$E$116)*0.05)*2,0)-8)+($A119*Costeo!$B$131+0*Costeo!$C$131+0*Costeo!$D$131+0*Costeo!$E$131))*Costeo!$B$54+IF(($A119*Costeo!$B$36+0*Costeo!$C$36)&lt;=2000,10,IF(($A119*Costeo!$B$36+0*Costeo!$C$36)&lt;=5000,15,IF(($A119*Costeo!$B$36+0*Costeo!$C$36)&lt;=10000,60,110)))-10)*Costeo!$B$51,2))+(ROUND((MAX(0,($A119*Costeo!$B$130+0*Costeo!$C$130+0*Costeo!$D$130+0*Costeo!$E$130)+20*2*2*Costeo!$B$69+30*(1/3600*Costeo!$B$55+5/3600*Costeo!$B$56)-Costeo!$B$58)+IF(AND(($A119*Costeo!$B$120+0*Costeo!$C$120+0*Costeo!$D$120+0*Costeo!$E$120)&lt;=1000000,($A119*Costeo!$B$119+0*Costeo!$C$119+0*Costeo!$D$119+0*Costeo!$E$119)&lt;=1000),0,IF(($A119*Costeo!$B$120+0*Costeo!$C$120+0*Costeo!$D$120+0*Costeo!$E$120)&lt;=10000000,20,IF(($A119*Costeo!$B$120+0*Costeo!$C$120+0*Costeo!$D$120+0*Costeo!$E$120)&lt;=50000000,100,300)))+MAX(0,ROUNDUP(($A119*Costeo!$B$36+0*Costeo!$C$36+0*Costeo!$D$36+0*Costeo!$E$36)/5000,0)-1)*Costeo!$B$62+IF(($A119*Costeo!$B$36+0*Costeo!$C$36+0*Costeo!$D$36+0*Costeo!$E$36)&gt;5000,32-Costeo!$B$61,0))*Costeo!$B$51,2))))&gt;=0),$A119,1000000000)</f>
        <v>68</v>
      </c>
      <c r="C119" s="121">
        <f>IF(AND($A119*Costeo!$C$36&lt;=10000,(($A119)*$D$10-$B$4-((ROUND((MAX(0,(0*Costeo!$B$117+$A119*Costeo!$C$117+0*Costeo!$D$117+0*Costeo!$E$117)-100)*Costeo!$B$53+MAX(0,(0*Costeo!$B$118+$A119*Costeo!$C$118+0*Costeo!$D$118+0*Costeo!$E$118)-250)*Costeo!$B$52+(MAX(0,ROUNDUP(((0*Costeo!$B$116+$A119*Costeo!$C$116)+(0*Costeo!$D$116+0*Costeo!$E$116)*0.05)*2,0)-8)+(0*Costeo!$B$131+$A119*Costeo!$C$131+0*Costeo!$D$131+0*Costeo!$E$131))*Costeo!$B$54+IF((0*Costeo!$B$36+$A119*Costeo!$C$36)&lt;=2000,10,IF((0*Costeo!$B$36+$A119*Costeo!$C$36)&lt;=5000,15,IF((0*Costeo!$B$36+$A119*Costeo!$C$36)&lt;=10000,60,110)))-10)*Costeo!$B$51,2))+(ROUND((MAX(0,(0*Costeo!$B$130+$A119*Costeo!$C$130+0*Costeo!$D$130+0*Costeo!$E$130)+20*2*2*Costeo!$B$69+30*(1/3600*Costeo!$B$55+5/3600*Costeo!$B$56)-Costeo!$B$58)+IF(AND((0*Costeo!$B$120+$A119*Costeo!$C$120+0*Costeo!$D$120+0*Costeo!$E$120)&lt;=1000000,(0*Costeo!$B$119+$A119*Costeo!$C$119+0*Costeo!$D$119+0*Costeo!$E$119)&lt;=1000),0,IF((0*Costeo!$B$120+$A119*Costeo!$C$120+0*Costeo!$D$120+0*Costeo!$E$120)&lt;=10000000,20,IF((0*Costeo!$B$120+$A119*Costeo!$C$120+0*Costeo!$D$120+0*Costeo!$E$120)&lt;=50000000,100,300)))+MAX(0,ROUNDUP((0*Costeo!$B$36+$A119*Costeo!$C$36+0*Costeo!$D$36+0*Costeo!$E$36)/5000,0)-1)*Costeo!$B$62+IF((0*Costeo!$B$36+$A119*Costeo!$C$36+0*Costeo!$D$36+0*Costeo!$E$36)&gt;5000,32-Costeo!$B$61,0))*Costeo!$B$51,2))))&gt;=0),$A119,1000000000)</f>
        <v>1000000000</v>
      </c>
      <c r="D119" s="121">
        <f>IF(AND($A119*Costeo!$D$36&lt;=10000,(($A119)*$D$11-$B$4-((ROUND((MAX(0,(0*Costeo!$B$117+0*Costeo!$C$117+$A119*Costeo!$D$117+0*Costeo!$E$117)-100)*Costeo!$B$53+MAX(0,(0*Costeo!$B$118+0*Costeo!$C$118+$A119*Costeo!$D$118+0*Costeo!$E$118)-250)*Costeo!$B$52+(MAX(0,ROUNDUP(((0*Costeo!$B$116+0*Costeo!$C$116)+($A119*Costeo!$D$116+0*Costeo!$E$116)*0.05)*2,0)-8)+(0*Costeo!$B$131+0*Costeo!$C$131+$A119*Costeo!$D$131+0*Costeo!$E$131))*Costeo!$B$54+IF((0*Costeo!$B$36+0*Costeo!$C$36)&lt;=2000,10,IF((0*Costeo!$B$36+0*Costeo!$C$36)&lt;=5000,15,IF((0*Costeo!$B$36+0*Costeo!$C$36)&lt;=10000,60,110)))-10)*Costeo!$B$51,2))+(ROUND((MAX(0,(0*Costeo!$B$130+0*Costeo!$C$130+$A119*Costeo!$D$130+0*Costeo!$E$130)+20*2*2*Costeo!$B$69+30*(1/3600*Costeo!$B$55+5/3600*Costeo!$B$56)-Costeo!$B$58)+IF(AND((0*Costeo!$B$120+0*Costeo!$C$120+$A119*Costeo!$D$120+0*Costeo!$E$120)&lt;=1000000,(0*Costeo!$B$119+0*Costeo!$C$119+$A119*Costeo!$D$119+0*Costeo!$E$119)&lt;=1000),0,IF((0*Costeo!$B$120+0*Costeo!$C$120+$A119*Costeo!$D$120+0*Costeo!$E$120)&lt;=10000000,20,IF((0*Costeo!$B$120+0*Costeo!$C$120+$A119*Costeo!$D$120+0*Costeo!$E$120)&lt;=50000000,100,300)))+MAX(0,ROUNDUP((0*Costeo!$B$36+0*Costeo!$C$36+$A119*Costeo!$D$36+0*Costeo!$E$36)/5000,0)-1)*Costeo!$B$62+IF((0*Costeo!$B$36+0*Costeo!$C$36+$A119*Costeo!$D$36+0*Costeo!$E$36)&gt;5000,32-Costeo!$B$61,0))*Costeo!$B$51,2))))&gt;=0),$A119,1000000000)</f>
        <v>1000000000</v>
      </c>
      <c r="E119" s="121">
        <f>IF(AND($A119*Costeo!$E$36&lt;=10000,(($A119)*$D$12-$B$4-((ROUND((MAX(0,(0*Costeo!$B$117+0*Costeo!$C$117+0*Costeo!$D$117+$A119*Costeo!$E$117)-100)*Costeo!$B$53+MAX(0,(0*Costeo!$B$118+0*Costeo!$C$118+0*Costeo!$D$118+$A119*Costeo!$E$118)-250)*Costeo!$B$52+(MAX(0,ROUNDUP(((0*Costeo!$B$116+0*Costeo!$C$116)+(0*Costeo!$D$116+$A119*Costeo!$E$116)*0.05)*2,0)-8)+(0*Costeo!$B$131+0*Costeo!$C$131+0*Costeo!$D$131+$A119*Costeo!$E$131))*Costeo!$B$54+IF((0*Costeo!$B$36+0*Costeo!$C$36)&lt;=2000,10,IF((0*Costeo!$B$36+0*Costeo!$C$36)&lt;=5000,15,IF((0*Costeo!$B$36+0*Costeo!$C$36)&lt;=10000,60,110)))-10)*Costeo!$B$51,2))+(ROUND((MAX(0,(0*Costeo!$B$130+0*Costeo!$C$130+0*Costeo!$D$130+$A119*Costeo!$E$130)+20*2*2*Costeo!$B$69+30*(1/3600*Costeo!$B$55+5/3600*Costeo!$B$56)-Costeo!$B$58)+IF(AND((0*Costeo!$B$120+0*Costeo!$C$120+0*Costeo!$D$120+$A119*Costeo!$E$120)&lt;=1000000,(0*Costeo!$B$119+0*Costeo!$C$119+0*Costeo!$D$119+$A119*Costeo!$E$119)&lt;=1000),0,IF((0*Costeo!$B$120+0*Costeo!$C$120+0*Costeo!$D$120+$A119*Costeo!$E$120)&lt;=10000000,20,IF((0*Costeo!$B$120+0*Costeo!$C$120+0*Costeo!$D$120+$A119*Costeo!$E$120)&lt;=50000000,100,300)))+MAX(0,ROUNDUP((0*Costeo!$B$36+0*Costeo!$C$36+0*Costeo!$D$36+$A119*Costeo!$E$36)/5000,0)-1)*Costeo!$B$62+IF((0*Costeo!$B$36+0*Costeo!$C$36+0*Costeo!$D$36+$A119*Costeo!$E$36)&gt;5000,32-Costeo!$B$61,0))*Costeo!$B$51,2))))&gt;=0),$A119,1000000000)</f>
        <v>1000000000</v>
      </c>
    </row>
    <row r="120" hidden="1" outlineLevel="1" ht="30" customHeight="1" s="61">
      <c r="A120" s="52" t="n">
        <v>69</v>
      </c>
      <c r="B120" s="121">
        <f>IF(AND($A120*Costeo!$B$36&lt;=10000,(($A120)*$D$9-$B$4-((ROUND((MAX(0,($A120*Costeo!$B$117+0*Costeo!$C$117+0*Costeo!$D$117+0*Costeo!$E$117)-100)*Costeo!$B$53+MAX(0,($A120*Costeo!$B$118+0*Costeo!$C$118+0*Costeo!$D$118+0*Costeo!$E$118)-250)*Costeo!$B$52+(MAX(0,ROUNDUP((($A120*Costeo!$B$116+0*Costeo!$C$116)+(0*Costeo!$D$116+0*Costeo!$E$116)*0.05)*2,0)-8)+($A120*Costeo!$B$131+0*Costeo!$C$131+0*Costeo!$D$131+0*Costeo!$E$131))*Costeo!$B$54+IF(($A120*Costeo!$B$36+0*Costeo!$C$36)&lt;=2000,10,IF(($A120*Costeo!$B$36+0*Costeo!$C$36)&lt;=5000,15,IF(($A120*Costeo!$B$36+0*Costeo!$C$36)&lt;=10000,60,110)))-10)*Costeo!$B$51,2))+(ROUND((MAX(0,($A120*Costeo!$B$130+0*Costeo!$C$130+0*Costeo!$D$130+0*Costeo!$E$130)+20*2*2*Costeo!$B$69+30*(1/3600*Costeo!$B$55+5/3600*Costeo!$B$56)-Costeo!$B$58)+IF(AND(($A120*Costeo!$B$120+0*Costeo!$C$120+0*Costeo!$D$120+0*Costeo!$E$120)&lt;=1000000,($A120*Costeo!$B$119+0*Costeo!$C$119+0*Costeo!$D$119+0*Costeo!$E$119)&lt;=1000),0,IF(($A120*Costeo!$B$120+0*Costeo!$C$120+0*Costeo!$D$120+0*Costeo!$E$120)&lt;=10000000,20,IF(($A120*Costeo!$B$120+0*Costeo!$C$120+0*Costeo!$D$120+0*Costeo!$E$120)&lt;=50000000,100,300)))+MAX(0,ROUNDUP(($A120*Costeo!$B$36+0*Costeo!$C$36+0*Costeo!$D$36+0*Costeo!$E$36)/5000,0)-1)*Costeo!$B$62+IF(($A120*Costeo!$B$36+0*Costeo!$C$36+0*Costeo!$D$36+0*Costeo!$E$36)&gt;5000,32-Costeo!$B$61,0))*Costeo!$B$51,2))))&gt;=0),$A120,1000000000)</f>
        <v>69</v>
      </c>
      <c r="C120" s="121">
        <f>IF(AND($A120*Costeo!$C$36&lt;=10000,(($A120)*$D$10-$B$4-((ROUND((MAX(0,(0*Costeo!$B$117+$A120*Costeo!$C$117+0*Costeo!$D$117+0*Costeo!$E$117)-100)*Costeo!$B$53+MAX(0,(0*Costeo!$B$118+$A120*Costeo!$C$118+0*Costeo!$D$118+0*Costeo!$E$118)-250)*Costeo!$B$52+(MAX(0,ROUNDUP(((0*Costeo!$B$116+$A120*Costeo!$C$116)+(0*Costeo!$D$116+0*Costeo!$E$116)*0.05)*2,0)-8)+(0*Costeo!$B$131+$A120*Costeo!$C$131+0*Costeo!$D$131+0*Costeo!$E$131))*Costeo!$B$54+IF((0*Costeo!$B$36+$A120*Costeo!$C$36)&lt;=2000,10,IF((0*Costeo!$B$36+$A120*Costeo!$C$36)&lt;=5000,15,IF((0*Costeo!$B$36+$A120*Costeo!$C$36)&lt;=10000,60,110)))-10)*Costeo!$B$51,2))+(ROUND((MAX(0,(0*Costeo!$B$130+$A120*Costeo!$C$130+0*Costeo!$D$130+0*Costeo!$E$130)+20*2*2*Costeo!$B$69+30*(1/3600*Costeo!$B$55+5/3600*Costeo!$B$56)-Costeo!$B$58)+IF(AND((0*Costeo!$B$120+$A120*Costeo!$C$120+0*Costeo!$D$120+0*Costeo!$E$120)&lt;=1000000,(0*Costeo!$B$119+$A120*Costeo!$C$119+0*Costeo!$D$119+0*Costeo!$E$119)&lt;=1000),0,IF((0*Costeo!$B$120+$A120*Costeo!$C$120+0*Costeo!$D$120+0*Costeo!$E$120)&lt;=10000000,20,IF((0*Costeo!$B$120+$A120*Costeo!$C$120+0*Costeo!$D$120+0*Costeo!$E$120)&lt;=50000000,100,300)))+MAX(0,ROUNDUP((0*Costeo!$B$36+$A120*Costeo!$C$36+0*Costeo!$D$36+0*Costeo!$E$36)/5000,0)-1)*Costeo!$B$62+IF((0*Costeo!$B$36+$A120*Costeo!$C$36+0*Costeo!$D$36+0*Costeo!$E$36)&gt;5000,32-Costeo!$B$61,0))*Costeo!$B$51,2))))&gt;=0),$A120,1000000000)</f>
        <v>1000000000</v>
      </c>
      <c r="D120" s="121">
        <f>IF(AND($A120*Costeo!$D$36&lt;=10000,(($A120)*$D$11-$B$4-((ROUND((MAX(0,(0*Costeo!$B$117+0*Costeo!$C$117+$A120*Costeo!$D$117+0*Costeo!$E$117)-100)*Costeo!$B$53+MAX(0,(0*Costeo!$B$118+0*Costeo!$C$118+$A120*Costeo!$D$118+0*Costeo!$E$118)-250)*Costeo!$B$52+(MAX(0,ROUNDUP(((0*Costeo!$B$116+0*Costeo!$C$116)+($A120*Costeo!$D$116+0*Costeo!$E$116)*0.05)*2,0)-8)+(0*Costeo!$B$131+0*Costeo!$C$131+$A120*Costeo!$D$131+0*Costeo!$E$131))*Costeo!$B$54+IF((0*Costeo!$B$36+0*Costeo!$C$36)&lt;=2000,10,IF((0*Costeo!$B$36+0*Costeo!$C$36)&lt;=5000,15,IF((0*Costeo!$B$36+0*Costeo!$C$36)&lt;=10000,60,110)))-10)*Costeo!$B$51,2))+(ROUND((MAX(0,(0*Costeo!$B$130+0*Costeo!$C$130+$A120*Costeo!$D$130+0*Costeo!$E$130)+20*2*2*Costeo!$B$69+30*(1/3600*Costeo!$B$55+5/3600*Costeo!$B$56)-Costeo!$B$58)+IF(AND((0*Costeo!$B$120+0*Costeo!$C$120+$A120*Costeo!$D$120+0*Costeo!$E$120)&lt;=1000000,(0*Costeo!$B$119+0*Costeo!$C$119+$A120*Costeo!$D$119+0*Costeo!$E$119)&lt;=1000),0,IF((0*Costeo!$B$120+0*Costeo!$C$120+$A120*Costeo!$D$120+0*Costeo!$E$120)&lt;=10000000,20,IF((0*Costeo!$B$120+0*Costeo!$C$120+$A120*Costeo!$D$120+0*Costeo!$E$120)&lt;=50000000,100,300)))+MAX(0,ROUNDUP((0*Costeo!$B$36+0*Costeo!$C$36+$A120*Costeo!$D$36+0*Costeo!$E$36)/5000,0)-1)*Costeo!$B$62+IF((0*Costeo!$B$36+0*Costeo!$C$36+$A120*Costeo!$D$36+0*Costeo!$E$36)&gt;5000,32-Costeo!$B$61,0))*Costeo!$B$51,2))))&gt;=0),$A120,1000000000)</f>
        <v>1000000000</v>
      </c>
      <c r="E120" s="121">
        <f>IF(AND($A120*Costeo!$E$36&lt;=10000,(($A120)*$D$12-$B$4-((ROUND((MAX(0,(0*Costeo!$B$117+0*Costeo!$C$117+0*Costeo!$D$117+$A120*Costeo!$E$117)-100)*Costeo!$B$53+MAX(0,(0*Costeo!$B$118+0*Costeo!$C$118+0*Costeo!$D$118+$A120*Costeo!$E$118)-250)*Costeo!$B$52+(MAX(0,ROUNDUP(((0*Costeo!$B$116+0*Costeo!$C$116)+(0*Costeo!$D$116+$A120*Costeo!$E$116)*0.05)*2,0)-8)+(0*Costeo!$B$131+0*Costeo!$C$131+0*Costeo!$D$131+$A120*Costeo!$E$131))*Costeo!$B$54+IF((0*Costeo!$B$36+0*Costeo!$C$36)&lt;=2000,10,IF((0*Costeo!$B$36+0*Costeo!$C$36)&lt;=5000,15,IF((0*Costeo!$B$36+0*Costeo!$C$36)&lt;=10000,60,110)))-10)*Costeo!$B$51,2))+(ROUND((MAX(0,(0*Costeo!$B$130+0*Costeo!$C$130+0*Costeo!$D$130+$A120*Costeo!$E$130)+20*2*2*Costeo!$B$69+30*(1/3600*Costeo!$B$55+5/3600*Costeo!$B$56)-Costeo!$B$58)+IF(AND((0*Costeo!$B$120+0*Costeo!$C$120+0*Costeo!$D$120+$A120*Costeo!$E$120)&lt;=1000000,(0*Costeo!$B$119+0*Costeo!$C$119+0*Costeo!$D$119+$A120*Costeo!$E$119)&lt;=1000),0,IF((0*Costeo!$B$120+0*Costeo!$C$120+0*Costeo!$D$120+$A120*Costeo!$E$120)&lt;=10000000,20,IF((0*Costeo!$B$120+0*Costeo!$C$120+0*Costeo!$D$120+$A120*Costeo!$E$120)&lt;=50000000,100,300)))+MAX(0,ROUNDUP((0*Costeo!$B$36+0*Costeo!$C$36+0*Costeo!$D$36+$A120*Costeo!$E$36)/5000,0)-1)*Costeo!$B$62+IF((0*Costeo!$B$36+0*Costeo!$C$36+0*Costeo!$D$36+$A120*Costeo!$E$36)&gt;5000,32-Costeo!$B$61,0))*Costeo!$B$51,2))))&gt;=0),$A120,1000000000)</f>
        <v>1000000000</v>
      </c>
    </row>
    <row r="121" hidden="1" outlineLevel="1" ht="30" customHeight="1" s="61">
      <c r="A121" s="52" t="n">
        <v>70</v>
      </c>
      <c r="B121" s="121">
        <f>IF(AND($A121*Costeo!$B$36&lt;=10000,(($A121)*$D$9-$B$4-((ROUND((MAX(0,($A121*Costeo!$B$117+0*Costeo!$C$117+0*Costeo!$D$117+0*Costeo!$E$117)-100)*Costeo!$B$53+MAX(0,($A121*Costeo!$B$118+0*Costeo!$C$118+0*Costeo!$D$118+0*Costeo!$E$118)-250)*Costeo!$B$52+(MAX(0,ROUNDUP((($A121*Costeo!$B$116+0*Costeo!$C$116)+(0*Costeo!$D$116+0*Costeo!$E$116)*0.05)*2,0)-8)+($A121*Costeo!$B$131+0*Costeo!$C$131+0*Costeo!$D$131+0*Costeo!$E$131))*Costeo!$B$54+IF(($A121*Costeo!$B$36+0*Costeo!$C$36)&lt;=2000,10,IF(($A121*Costeo!$B$36+0*Costeo!$C$36)&lt;=5000,15,IF(($A121*Costeo!$B$36+0*Costeo!$C$36)&lt;=10000,60,110)))-10)*Costeo!$B$51,2))+(ROUND((MAX(0,($A121*Costeo!$B$130+0*Costeo!$C$130+0*Costeo!$D$130+0*Costeo!$E$130)+20*2*2*Costeo!$B$69+30*(1/3600*Costeo!$B$55+5/3600*Costeo!$B$56)-Costeo!$B$58)+IF(AND(($A121*Costeo!$B$120+0*Costeo!$C$120+0*Costeo!$D$120+0*Costeo!$E$120)&lt;=1000000,($A121*Costeo!$B$119+0*Costeo!$C$119+0*Costeo!$D$119+0*Costeo!$E$119)&lt;=1000),0,IF(($A121*Costeo!$B$120+0*Costeo!$C$120+0*Costeo!$D$120+0*Costeo!$E$120)&lt;=10000000,20,IF(($A121*Costeo!$B$120+0*Costeo!$C$120+0*Costeo!$D$120+0*Costeo!$E$120)&lt;=50000000,100,300)))+MAX(0,ROUNDUP(($A121*Costeo!$B$36+0*Costeo!$C$36+0*Costeo!$D$36+0*Costeo!$E$36)/5000,0)-1)*Costeo!$B$62+IF(($A121*Costeo!$B$36+0*Costeo!$C$36+0*Costeo!$D$36+0*Costeo!$E$36)&gt;5000,32-Costeo!$B$61,0))*Costeo!$B$51,2))))&gt;=0),$A121,1000000000)</f>
        <v>70</v>
      </c>
      <c r="C121" s="121">
        <f>IF(AND($A121*Costeo!$C$36&lt;=10000,(($A121)*$D$10-$B$4-((ROUND((MAX(0,(0*Costeo!$B$117+$A121*Costeo!$C$117+0*Costeo!$D$117+0*Costeo!$E$117)-100)*Costeo!$B$53+MAX(0,(0*Costeo!$B$118+$A121*Costeo!$C$118+0*Costeo!$D$118+0*Costeo!$E$118)-250)*Costeo!$B$52+(MAX(0,ROUNDUP(((0*Costeo!$B$116+$A121*Costeo!$C$116)+(0*Costeo!$D$116+0*Costeo!$E$116)*0.05)*2,0)-8)+(0*Costeo!$B$131+$A121*Costeo!$C$131+0*Costeo!$D$131+0*Costeo!$E$131))*Costeo!$B$54+IF((0*Costeo!$B$36+$A121*Costeo!$C$36)&lt;=2000,10,IF((0*Costeo!$B$36+$A121*Costeo!$C$36)&lt;=5000,15,IF((0*Costeo!$B$36+$A121*Costeo!$C$36)&lt;=10000,60,110)))-10)*Costeo!$B$51,2))+(ROUND((MAX(0,(0*Costeo!$B$130+$A121*Costeo!$C$130+0*Costeo!$D$130+0*Costeo!$E$130)+20*2*2*Costeo!$B$69+30*(1/3600*Costeo!$B$55+5/3600*Costeo!$B$56)-Costeo!$B$58)+IF(AND((0*Costeo!$B$120+$A121*Costeo!$C$120+0*Costeo!$D$120+0*Costeo!$E$120)&lt;=1000000,(0*Costeo!$B$119+$A121*Costeo!$C$119+0*Costeo!$D$119+0*Costeo!$E$119)&lt;=1000),0,IF((0*Costeo!$B$120+$A121*Costeo!$C$120+0*Costeo!$D$120+0*Costeo!$E$120)&lt;=10000000,20,IF((0*Costeo!$B$120+$A121*Costeo!$C$120+0*Costeo!$D$120+0*Costeo!$E$120)&lt;=50000000,100,300)))+MAX(0,ROUNDUP((0*Costeo!$B$36+$A121*Costeo!$C$36+0*Costeo!$D$36+0*Costeo!$E$36)/5000,0)-1)*Costeo!$B$62+IF((0*Costeo!$B$36+$A121*Costeo!$C$36+0*Costeo!$D$36+0*Costeo!$E$36)&gt;5000,32-Costeo!$B$61,0))*Costeo!$B$51,2))))&gt;=0),$A121,1000000000)</f>
        <v>1000000000</v>
      </c>
      <c r="D121" s="121">
        <f>IF(AND($A121*Costeo!$D$36&lt;=10000,(($A121)*$D$11-$B$4-((ROUND((MAX(0,(0*Costeo!$B$117+0*Costeo!$C$117+$A121*Costeo!$D$117+0*Costeo!$E$117)-100)*Costeo!$B$53+MAX(0,(0*Costeo!$B$118+0*Costeo!$C$118+$A121*Costeo!$D$118+0*Costeo!$E$118)-250)*Costeo!$B$52+(MAX(0,ROUNDUP(((0*Costeo!$B$116+0*Costeo!$C$116)+($A121*Costeo!$D$116+0*Costeo!$E$116)*0.05)*2,0)-8)+(0*Costeo!$B$131+0*Costeo!$C$131+$A121*Costeo!$D$131+0*Costeo!$E$131))*Costeo!$B$54+IF((0*Costeo!$B$36+0*Costeo!$C$36)&lt;=2000,10,IF((0*Costeo!$B$36+0*Costeo!$C$36)&lt;=5000,15,IF((0*Costeo!$B$36+0*Costeo!$C$36)&lt;=10000,60,110)))-10)*Costeo!$B$51,2))+(ROUND((MAX(0,(0*Costeo!$B$130+0*Costeo!$C$130+$A121*Costeo!$D$130+0*Costeo!$E$130)+20*2*2*Costeo!$B$69+30*(1/3600*Costeo!$B$55+5/3600*Costeo!$B$56)-Costeo!$B$58)+IF(AND((0*Costeo!$B$120+0*Costeo!$C$120+$A121*Costeo!$D$120+0*Costeo!$E$120)&lt;=1000000,(0*Costeo!$B$119+0*Costeo!$C$119+$A121*Costeo!$D$119+0*Costeo!$E$119)&lt;=1000),0,IF((0*Costeo!$B$120+0*Costeo!$C$120+$A121*Costeo!$D$120+0*Costeo!$E$120)&lt;=10000000,20,IF((0*Costeo!$B$120+0*Costeo!$C$120+$A121*Costeo!$D$120+0*Costeo!$E$120)&lt;=50000000,100,300)))+MAX(0,ROUNDUP((0*Costeo!$B$36+0*Costeo!$C$36+$A121*Costeo!$D$36+0*Costeo!$E$36)/5000,0)-1)*Costeo!$B$62+IF((0*Costeo!$B$36+0*Costeo!$C$36+$A121*Costeo!$D$36+0*Costeo!$E$36)&gt;5000,32-Costeo!$B$61,0))*Costeo!$B$51,2))))&gt;=0),$A121,1000000000)</f>
        <v>1000000000</v>
      </c>
      <c r="E121" s="121">
        <f>IF(AND($A121*Costeo!$E$36&lt;=10000,(($A121)*$D$12-$B$4-((ROUND((MAX(0,(0*Costeo!$B$117+0*Costeo!$C$117+0*Costeo!$D$117+$A121*Costeo!$E$117)-100)*Costeo!$B$53+MAX(0,(0*Costeo!$B$118+0*Costeo!$C$118+0*Costeo!$D$118+$A121*Costeo!$E$118)-250)*Costeo!$B$52+(MAX(0,ROUNDUP(((0*Costeo!$B$116+0*Costeo!$C$116)+(0*Costeo!$D$116+$A121*Costeo!$E$116)*0.05)*2,0)-8)+(0*Costeo!$B$131+0*Costeo!$C$131+0*Costeo!$D$131+$A121*Costeo!$E$131))*Costeo!$B$54+IF((0*Costeo!$B$36+0*Costeo!$C$36)&lt;=2000,10,IF((0*Costeo!$B$36+0*Costeo!$C$36)&lt;=5000,15,IF((0*Costeo!$B$36+0*Costeo!$C$36)&lt;=10000,60,110)))-10)*Costeo!$B$51,2))+(ROUND((MAX(0,(0*Costeo!$B$130+0*Costeo!$C$130+0*Costeo!$D$130+$A121*Costeo!$E$130)+20*2*2*Costeo!$B$69+30*(1/3600*Costeo!$B$55+5/3600*Costeo!$B$56)-Costeo!$B$58)+IF(AND((0*Costeo!$B$120+0*Costeo!$C$120+0*Costeo!$D$120+$A121*Costeo!$E$120)&lt;=1000000,(0*Costeo!$B$119+0*Costeo!$C$119+0*Costeo!$D$119+$A121*Costeo!$E$119)&lt;=1000),0,IF((0*Costeo!$B$120+0*Costeo!$C$120+0*Costeo!$D$120+$A121*Costeo!$E$120)&lt;=10000000,20,IF((0*Costeo!$B$120+0*Costeo!$C$120+0*Costeo!$D$120+$A121*Costeo!$E$120)&lt;=50000000,100,300)))+MAX(0,ROUNDUP((0*Costeo!$B$36+0*Costeo!$C$36+0*Costeo!$D$36+$A121*Costeo!$E$36)/5000,0)-1)*Costeo!$B$62+IF((0*Costeo!$B$36+0*Costeo!$C$36+0*Costeo!$D$36+$A121*Costeo!$E$36)&gt;5000,32-Costeo!$B$61,0))*Costeo!$B$51,2))))&gt;=0),$A121,1000000000)</f>
        <v>1000000000</v>
      </c>
    </row>
    <row r="122" hidden="1" outlineLevel="1" ht="30" customHeight="1" s="61">
      <c r="A122" s="52" t="n">
        <v>71</v>
      </c>
      <c r="B122" s="121">
        <f>IF(AND($A122*Costeo!$B$36&lt;=10000,(($A122)*$D$9-$B$4-((ROUND((MAX(0,($A122*Costeo!$B$117+0*Costeo!$C$117+0*Costeo!$D$117+0*Costeo!$E$117)-100)*Costeo!$B$53+MAX(0,($A122*Costeo!$B$118+0*Costeo!$C$118+0*Costeo!$D$118+0*Costeo!$E$118)-250)*Costeo!$B$52+(MAX(0,ROUNDUP((($A122*Costeo!$B$116+0*Costeo!$C$116)+(0*Costeo!$D$116+0*Costeo!$E$116)*0.05)*2,0)-8)+($A122*Costeo!$B$131+0*Costeo!$C$131+0*Costeo!$D$131+0*Costeo!$E$131))*Costeo!$B$54+IF(($A122*Costeo!$B$36+0*Costeo!$C$36)&lt;=2000,10,IF(($A122*Costeo!$B$36+0*Costeo!$C$36)&lt;=5000,15,IF(($A122*Costeo!$B$36+0*Costeo!$C$36)&lt;=10000,60,110)))-10)*Costeo!$B$51,2))+(ROUND((MAX(0,($A122*Costeo!$B$130+0*Costeo!$C$130+0*Costeo!$D$130+0*Costeo!$E$130)+20*2*2*Costeo!$B$69+30*(1/3600*Costeo!$B$55+5/3600*Costeo!$B$56)-Costeo!$B$58)+IF(AND(($A122*Costeo!$B$120+0*Costeo!$C$120+0*Costeo!$D$120+0*Costeo!$E$120)&lt;=1000000,($A122*Costeo!$B$119+0*Costeo!$C$119+0*Costeo!$D$119+0*Costeo!$E$119)&lt;=1000),0,IF(($A122*Costeo!$B$120+0*Costeo!$C$120+0*Costeo!$D$120+0*Costeo!$E$120)&lt;=10000000,20,IF(($A122*Costeo!$B$120+0*Costeo!$C$120+0*Costeo!$D$120+0*Costeo!$E$120)&lt;=50000000,100,300)))+MAX(0,ROUNDUP(($A122*Costeo!$B$36+0*Costeo!$C$36+0*Costeo!$D$36+0*Costeo!$E$36)/5000,0)-1)*Costeo!$B$62+IF(($A122*Costeo!$B$36+0*Costeo!$C$36+0*Costeo!$D$36+0*Costeo!$E$36)&gt;5000,32-Costeo!$B$61,0))*Costeo!$B$51,2))))&gt;=0),$A122,1000000000)</f>
        <v>71</v>
      </c>
      <c r="C122" s="121">
        <f>IF(AND($A122*Costeo!$C$36&lt;=10000,(($A122)*$D$10-$B$4-((ROUND((MAX(0,(0*Costeo!$B$117+$A122*Costeo!$C$117+0*Costeo!$D$117+0*Costeo!$E$117)-100)*Costeo!$B$53+MAX(0,(0*Costeo!$B$118+$A122*Costeo!$C$118+0*Costeo!$D$118+0*Costeo!$E$118)-250)*Costeo!$B$52+(MAX(0,ROUNDUP(((0*Costeo!$B$116+$A122*Costeo!$C$116)+(0*Costeo!$D$116+0*Costeo!$E$116)*0.05)*2,0)-8)+(0*Costeo!$B$131+$A122*Costeo!$C$131+0*Costeo!$D$131+0*Costeo!$E$131))*Costeo!$B$54+IF((0*Costeo!$B$36+$A122*Costeo!$C$36)&lt;=2000,10,IF((0*Costeo!$B$36+$A122*Costeo!$C$36)&lt;=5000,15,IF((0*Costeo!$B$36+$A122*Costeo!$C$36)&lt;=10000,60,110)))-10)*Costeo!$B$51,2))+(ROUND((MAX(0,(0*Costeo!$B$130+$A122*Costeo!$C$130+0*Costeo!$D$130+0*Costeo!$E$130)+20*2*2*Costeo!$B$69+30*(1/3600*Costeo!$B$55+5/3600*Costeo!$B$56)-Costeo!$B$58)+IF(AND((0*Costeo!$B$120+$A122*Costeo!$C$120+0*Costeo!$D$120+0*Costeo!$E$120)&lt;=1000000,(0*Costeo!$B$119+$A122*Costeo!$C$119+0*Costeo!$D$119+0*Costeo!$E$119)&lt;=1000),0,IF((0*Costeo!$B$120+$A122*Costeo!$C$120+0*Costeo!$D$120+0*Costeo!$E$120)&lt;=10000000,20,IF((0*Costeo!$B$120+$A122*Costeo!$C$120+0*Costeo!$D$120+0*Costeo!$E$120)&lt;=50000000,100,300)))+MAX(0,ROUNDUP((0*Costeo!$B$36+$A122*Costeo!$C$36+0*Costeo!$D$36+0*Costeo!$E$36)/5000,0)-1)*Costeo!$B$62+IF((0*Costeo!$B$36+$A122*Costeo!$C$36+0*Costeo!$D$36+0*Costeo!$E$36)&gt;5000,32-Costeo!$B$61,0))*Costeo!$B$51,2))))&gt;=0),$A122,1000000000)</f>
        <v>1000000000</v>
      </c>
      <c r="D122" s="121">
        <f>IF(AND($A122*Costeo!$D$36&lt;=10000,(($A122)*$D$11-$B$4-((ROUND((MAX(0,(0*Costeo!$B$117+0*Costeo!$C$117+$A122*Costeo!$D$117+0*Costeo!$E$117)-100)*Costeo!$B$53+MAX(0,(0*Costeo!$B$118+0*Costeo!$C$118+$A122*Costeo!$D$118+0*Costeo!$E$118)-250)*Costeo!$B$52+(MAX(0,ROUNDUP(((0*Costeo!$B$116+0*Costeo!$C$116)+($A122*Costeo!$D$116+0*Costeo!$E$116)*0.05)*2,0)-8)+(0*Costeo!$B$131+0*Costeo!$C$131+$A122*Costeo!$D$131+0*Costeo!$E$131))*Costeo!$B$54+IF((0*Costeo!$B$36+0*Costeo!$C$36)&lt;=2000,10,IF((0*Costeo!$B$36+0*Costeo!$C$36)&lt;=5000,15,IF((0*Costeo!$B$36+0*Costeo!$C$36)&lt;=10000,60,110)))-10)*Costeo!$B$51,2))+(ROUND((MAX(0,(0*Costeo!$B$130+0*Costeo!$C$130+$A122*Costeo!$D$130+0*Costeo!$E$130)+20*2*2*Costeo!$B$69+30*(1/3600*Costeo!$B$55+5/3600*Costeo!$B$56)-Costeo!$B$58)+IF(AND((0*Costeo!$B$120+0*Costeo!$C$120+$A122*Costeo!$D$120+0*Costeo!$E$120)&lt;=1000000,(0*Costeo!$B$119+0*Costeo!$C$119+$A122*Costeo!$D$119+0*Costeo!$E$119)&lt;=1000),0,IF((0*Costeo!$B$120+0*Costeo!$C$120+$A122*Costeo!$D$120+0*Costeo!$E$120)&lt;=10000000,20,IF((0*Costeo!$B$120+0*Costeo!$C$120+$A122*Costeo!$D$120+0*Costeo!$E$120)&lt;=50000000,100,300)))+MAX(0,ROUNDUP((0*Costeo!$B$36+0*Costeo!$C$36+$A122*Costeo!$D$36+0*Costeo!$E$36)/5000,0)-1)*Costeo!$B$62+IF((0*Costeo!$B$36+0*Costeo!$C$36+$A122*Costeo!$D$36+0*Costeo!$E$36)&gt;5000,32-Costeo!$B$61,0))*Costeo!$B$51,2))))&gt;=0),$A122,1000000000)</f>
        <v>1000000000</v>
      </c>
      <c r="E122" s="121">
        <f>IF(AND($A122*Costeo!$E$36&lt;=10000,(($A122)*$D$12-$B$4-((ROUND((MAX(0,(0*Costeo!$B$117+0*Costeo!$C$117+0*Costeo!$D$117+$A122*Costeo!$E$117)-100)*Costeo!$B$53+MAX(0,(0*Costeo!$B$118+0*Costeo!$C$118+0*Costeo!$D$118+$A122*Costeo!$E$118)-250)*Costeo!$B$52+(MAX(0,ROUNDUP(((0*Costeo!$B$116+0*Costeo!$C$116)+(0*Costeo!$D$116+$A122*Costeo!$E$116)*0.05)*2,0)-8)+(0*Costeo!$B$131+0*Costeo!$C$131+0*Costeo!$D$131+$A122*Costeo!$E$131))*Costeo!$B$54+IF((0*Costeo!$B$36+0*Costeo!$C$36)&lt;=2000,10,IF((0*Costeo!$B$36+0*Costeo!$C$36)&lt;=5000,15,IF((0*Costeo!$B$36+0*Costeo!$C$36)&lt;=10000,60,110)))-10)*Costeo!$B$51,2))+(ROUND((MAX(0,(0*Costeo!$B$130+0*Costeo!$C$130+0*Costeo!$D$130+$A122*Costeo!$E$130)+20*2*2*Costeo!$B$69+30*(1/3600*Costeo!$B$55+5/3600*Costeo!$B$56)-Costeo!$B$58)+IF(AND((0*Costeo!$B$120+0*Costeo!$C$120+0*Costeo!$D$120+$A122*Costeo!$E$120)&lt;=1000000,(0*Costeo!$B$119+0*Costeo!$C$119+0*Costeo!$D$119+$A122*Costeo!$E$119)&lt;=1000),0,IF((0*Costeo!$B$120+0*Costeo!$C$120+0*Costeo!$D$120+$A122*Costeo!$E$120)&lt;=10000000,20,IF((0*Costeo!$B$120+0*Costeo!$C$120+0*Costeo!$D$120+$A122*Costeo!$E$120)&lt;=50000000,100,300)))+MAX(0,ROUNDUP((0*Costeo!$B$36+0*Costeo!$C$36+0*Costeo!$D$36+$A122*Costeo!$E$36)/5000,0)-1)*Costeo!$B$62+IF((0*Costeo!$B$36+0*Costeo!$C$36+0*Costeo!$D$36+$A122*Costeo!$E$36)&gt;5000,32-Costeo!$B$61,0))*Costeo!$B$51,2))))&gt;=0),$A122,1000000000)</f>
        <v>1000000000</v>
      </c>
    </row>
    <row r="123" hidden="1" outlineLevel="1" ht="30" customHeight="1" s="61">
      <c r="A123" s="52" t="n">
        <v>72</v>
      </c>
      <c r="B123" s="121">
        <f>IF(AND($A123*Costeo!$B$36&lt;=10000,(($A123)*$D$9-$B$4-((ROUND((MAX(0,($A123*Costeo!$B$117+0*Costeo!$C$117+0*Costeo!$D$117+0*Costeo!$E$117)-100)*Costeo!$B$53+MAX(0,($A123*Costeo!$B$118+0*Costeo!$C$118+0*Costeo!$D$118+0*Costeo!$E$118)-250)*Costeo!$B$52+(MAX(0,ROUNDUP((($A123*Costeo!$B$116+0*Costeo!$C$116)+(0*Costeo!$D$116+0*Costeo!$E$116)*0.05)*2,0)-8)+($A123*Costeo!$B$131+0*Costeo!$C$131+0*Costeo!$D$131+0*Costeo!$E$131))*Costeo!$B$54+IF(($A123*Costeo!$B$36+0*Costeo!$C$36)&lt;=2000,10,IF(($A123*Costeo!$B$36+0*Costeo!$C$36)&lt;=5000,15,IF(($A123*Costeo!$B$36+0*Costeo!$C$36)&lt;=10000,60,110)))-10)*Costeo!$B$51,2))+(ROUND((MAX(0,($A123*Costeo!$B$130+0*Costeo!$C$130+0*Costeo!$D$130+0*Costeo!$E$130)+20*2*2*Costeo!$B$69+30*(1/3600*Costeo!$B$55+5/3600*Costeo!$B$56)-Costeo!$B$58)+IF(AND(($A123*Costeo!$B$120+0*Costeo!$C$120+0*Costeo!$D$120+0*Costeo!$E$120)&lt;=1000000,($A123*Costeo!$B$119+0*Costeo!$C$119+0*Costeo!$D$119+0*Costeo!$E$119)&lt;=1000),0,IF(($A123*Costeo!$B$120+0*Costeo!$C$120+0*Costeo!$D$120+0*Costeo!$E$120)&lt;=10000000,20,IF(($A123*Costeo!$B$120+0*Costeo!$C$120+0*Costeo!$D$120+0*Costeo!$E$120)&lt;=50000000,100,300)))+MAX(0,ROUNDUP(($A123*Costeo!$B$36+0*Costeo!$C$36+0*Costeo!$D$36+0*Costeo!$E$36)/5000,0)-1)*Costeo!$B$62+IF(($A123*Costeo!$B$36+0*Costeo!$C$36+0*Costeo!$D$36+0*Costeo!$E$36)&gt;5000,32-Costeo!$B$61,0))*Costeo!$B$51,2))))&gt;=0),$A123,1000000000)</f>
        <v>72</v>
      </c>
      <c r="C123" s="121">
        <f>IF(AND($A123*Costeo!$C$36&lt;=10000,(($A123)*$D$10-$B$4-((ROUND((MAX(0,(0*Costeo!$B$117+$A123*Costeo!$C$117+0*Costeo!$D$117+0*Costeo!$E$117)-100)*Costeo!$B$53+MAX(0,(0*Costeo!$B$118+$A123*Costeo!$C$118+0*Costeo!$D$118+0*Costeo!$E$118)-250)*Costeo!$B$52+(MAX(0,ROUNDUP(((0*Costeo!$B$116+$A123*Costeo!$C$116)+(0*Costeo!$D$116+0*Costeo!$E$116)*0.05)*2,0)-8)+(0*Costeo!$B$131+$A123*Costeo!$C$131+0*Costeo!$D$131+0*Costeo!$E$131))*Costeo!$B$54+IF((0*Costeo!$B$36+$A123*Costeo!$C$36)&lt;=2000,10,IF((0*Costeo!$B$36+$A123*Costeo!$C$36)&lt;=5000,15,IF((0*Costeo!$B$36+$A123*Costeo!$C$36)&lt;=10000,60,110)))-10)*Costeo!$B$51,2))+(ROUND((MAX(0,(0*Costeo!$B$130+$A123*Costeo!$C$130+0*Costeo!$D$130+0*Costeo!$E$130)+20*2*2*Costeo!$B$69+30*(1/3600*Costeo!$B$55+5/3600*Costeo!$B$56)-Costeo!$B$58)+IF(AND((0*Costeo!$B$120+$A123*Costeo!$C$120+0*Costeo!$D$120+0*Costeo!$E$120)&lt;=1000000,(0*Costeo!$B$119+$A123*Costeo!$C$119+0*Costeo!$D$119+0*Costeo!$E$119)&lt;=1000),0,IF((0*Costeo!$B$120+$A123*Costeo!$C$120+0*Costeo!$D$120+0*Costeo!$E$120)&lt;=10000000,20,IF((0*Costeo!$B$120+$A123*Costeo!$C$120+0*Costeo!$D$120+0*Costeo!$E$120)&lt;=50000000,100,300)))+MAX(0,ROUNDUP((0*Costeo!$B$36+$A123*Costeo!$C$36+0*Costeo!$D$36+0*Costeo!$E$36)/5000,0)-1)*Costeo!$B$62+IF((0*Costeo!$B$36+$A123*Costeo!$C$36+0*Costeo!$D$36+0*Costeo!$E$36)&gt;5000,32-Costeo!$B$61,0))*Costeo!$B$51,2))))&gt;=0),$A123,1000000000)</f>
        <v>1000000000</v>
      </c>
      <c r="D123" s="121">
        <f>IF(AND($A123*Costeo!$D$36&lt;=10000,(($A123)*$D$11-$B$4-((ROUND((MAX(0,(0*Costeo!$B$117+0*Costeo!$C$117+$A123*Costeo!$D$117+0*Costeo!$E$117)-100)*Costeo!$B$53+MAX(0,(0*Costeo!$B$118+0*Costeo!$C$118+$A123*Costeo!$D$118+0*Costeo!$E$118)-250)*Costeo!$B$52+(MAX(0,ROUNDUP(((0*Costeo!$B$116+0*Costeo!$C$116)+($A123*Costeo!$D$116+0*Costeo!$E$116)*0.05)*2,0)-8)+(0*Costeo!$B$131+0*Costeo!$C$131+$A123*Costeo!$D$131+0*Costeo!$E$131))*Costeo!$B$54+IF((0*Costeo!$B$36+0*Costeo!$C$36)&lt;=2000,10,IF((0*Costeo!$B$36+0*Costeo!$C$36)&lt;=5000,15,IF((0*Costeo!$B$36+0*Costeo!$C$36)&lt;=10000,60,110)))-10)*Costeo!$B$51,2))+(ROUND((MAX(0,(0*Costeo!$B$130+0*Costeo!$C$130+$A123*Costeo!$D$130+0*Costeo!$E$130)+20*2*2*Costeo!$B$69+30*(1/3600*Costeo!$B$55+5/3600*Costeo!$B$56)-Costeo!$B$58)+IF(AND((0*Costeo!$B$120+0*Costeo!$C$120+$A123*Costeo!$D$120+0*Costeo!$E$120)&lt;=1000000,(0*Costeo!$B$119+0*Costeo!$C$119+$A123*Costeo!$D$119+0*Costeo!$E$119)&lt;=1000),0,IF((0*Costeo!$B$120+0*Costeo!$C$120+$A123*Costeo!$D$120+0*Costeo!$E$120)&lt;=10000000,20,IF((0*Costeo!$B$120+0*Costeo!$C$120+$A123*Costeo!$D$120+0*Costeo!$E$120)&lt;=50000000,100,300)))+MAX(0,ROUNDUP((0*Costeo!$B$36+0*Costeo!$C$36+$A123*Costeo!$D$36+0*Costeo!$E$36)/5000,0)-1)*Costeo!$B$62+IF((0*Costeo!$B$36+0*Costeo!$C$36+$A123*Costeo!$D$36+0*Costeo!$E$36)&gt;5000,32-Costeo!$B$61,0))*Costeo!$B$51,2))))&gt;=0),$A123,1000000000)</f>
        <v>1000000000</v>
      </c>
      <c r="E123" s="121">
        <f>IF(AND($A123*Costeo!$E$36&lt;=10000,(($A123)*$D$12-$B$4-((ROUND((MAX(0,(0*Costeo!$B$117+0*Costeo!$C$117+0*Costeo!$D$117+$A123*Costeo!$E$117)-100)*Costeo!$B$53+MAX(0,(0*Costeo!$B$118+0*Costeo!$C$118+0*Costeo!$D$118+$A123*Costeo!$E$118)-250)*Costeo!$B$52+(MAX(0,ROUNDUP(((0*Costeo!$B$116+0*Costeo!$C$116)+(0*Costeo!$D$116+$A123*Costeo!$E$116)*0.05)*2,0)-8)+(0*Costeo!$B$131+0*Costeo!$C$131+0*Costeo!$D$131+$A123*Costeo!$E$131))*Costeo!$B$54+IF((0*Costeo!$B$36+0*Costeo!$C$36)&lt;=2000,10,IF((0*Costeo!$B$36+0*Costeo!$C$36)&lt;=5000,15,IF((0*Costeo!$B$36+0*Costeo!$C$36)&lt;=10000,60,110)))-10)*Costeo!$B$51,2))+(ROUND((MAX(0,(0*Costeo!$B$130+0*Costeo!$C$130+0*Costeo!$D$130+$A123*Costeo!$E$130)+20*2*2*Costeo!$B$69+30*(1/3600*Costeo!$B$55+5/3600*Costeo!$B$56)-Costeo!$B$58)+IF(AND((0*Costeo!$B$120+0*Costeo!$C$120+0*Costeo!$D$120+$A123*Costeo!$E$120)&lt;=1000000,(0*Costeo!$B$119+0*Costeo!$C$119+0*Costeo!$D$119+$A123*Costeo!$E$119)&lt;=1000),0,IF((0*Costeo!$B$120+0*Costeo!$C$120+0*Costeo!$D$120+$A123*Costeo!$E$120)&lt;=10000000,20,IF((0*Costeo!$B$120+0*Costeo!$C$120+0*Costeo!$D$120+$A123*Costeo!$E$120)&lt;=50000000,100,300)))+MAX(0,ROUNDUP((0*Costeo!$B$36+0*Costeo!$C$36+0*Costeo!$D$36+$A123*Costeo!$E$36)/5000,0)-1)*Costeo!$B$62+IF((0*Costeo!$B$36+0*Costeo!$C$36+0*Costeo!$D$36+$A123*Costeo!$E$36)&gt;5000,32-Costeo!$B$61,0))*Costeo!$B$51,2))))&gt;=0),$A123,1000000000)</f>
        <v>1000000000</v>
      </c>
    </row>
    <row r="124" hidden="1" outlineLevel="1" ht="30" customHeight="1" s="61">
      <c r="A124" s="52" t="n">
        <v>73</v>
      </c>
      <c r="B124" s="121">
        <f>IF(AND($A124*Costeo!$B$36&lt;=10000,(($A124)*$D$9-$B$4-((ROUND((MAX(0,($A124*Costeo!$B$117+0*Costeo!$C$117+0*Costeo!$D$117+0*Costeo!$E$117)-100)*Costeo!$B$53+MAX(0,($A124*Costeo!$B$118+0*Costeo!$C$118+0*Costeo!$D$118+0*Costeo!$E$118)-250)*Costeo!$B$52+(MAX(0,ROUNDUP((($A124*Costeo!$B$116+0*Costeo!$C$116)+(0*Costeo!$D$116+0*Costeo!$E$116)*0.05)*2,0)-8)+($A124*Costeo!$B$131+0*Costeo!$C$131+0*Costeo!$D$131+0*Costeo!$E$131))*Costeo!$B$54+IF(($A124*Costeo!$B$36+0*Costeo!$C$36)&lt;=2000,10,IF(($A124*Costeo!$B$36+0*Costeo!$C$36)&lt;=5000,15,IF(($A124*Costeo!$B$36+0*Costeo!$C$36)&lt;=10000,60,110)))-10)*Costeo!$B$51,2))+(ROUND((MAX(0,($A124*Costeo!$B$130+0*Costeo!$C$130+0*Costeo!$D$130+0*Costeo!$E$130)+20*2*2*Costeo!$B$69+30*(1/3600*Costeo!$B$55+5/3600*Costeo!$B$56)-Costeo!$B$58)+IF(AND(($A124*Costeo!$B$120+0*Costeo!$C$120+0*Costeo!$D$120+0*Costeo!$E$120)&lt;=1000000,($A124*Costeo!$B$119+0*Costeo!$C$119+0*Costeo!$D$119+0*Costeo!$E$119)&lt;=1000),0,IF(($A124*Costeo!$B$120+0*Costeo!$C$120+0*Costeo!$D$120+0*Costeo!$E$120)&lt;=10000000,20,IF(($A124*Costeo!$B$120+0*Costeo!$C$120+0*Costeo!$D$120+0*Costeo!$E$120)&lt;=50000000,100,300)))+MAX(0,ROUNDUP(($A124*Costeo!$B$36+0*Costeo!$C$36+0*Costeo!$D$36+0*Costeo!$E$36)/5000,0)-1)*Costeo!$B$62+IF(($A124*Costeo!$B$36+0*Costeo!$C$36+0*Costeo!$D$36+0*Costeo!$E$36)&gt;5000,32-Costeo!$B$61,0))*Costeo!$B$51,2))))&gt;=0),$A124,1000000000)</f>
        <v>73</v>
      </c>
      <c r="C124" s="121">
        <f>IF(AND($A124*Costeo!$C$36&lt;=10000,(($A124)*$D$10-$B$4-((ROUND((MAX(0,(0*Costeo!$B$117+$A124*Costeo!$C$117+0*Costeo!$D$117+0*Costeo!$E$117)-100)*Costeo!$B$53+MAX(0,(0*Costeo!$B$118+$A124*Costeo!$C$118+0*Costeo!$D$118+0*Costeo!$E$118)-250)*Costeo!$B$52+(MAX(0,ROUNDUP(((0*Costeo!$B$116+$A124*Costeo!$C$116)+(0*Costeo!$D$116+0*Costeo!$E$116)*0.05)*2,0)-8)+(0*Costeo!$B$131+$A124*Costeo!$C$131+0*Costeo!$D$131+0*Costeo!$E$131))*Costeo!$B$54+IF((0*Costeo!$B$36+$A124*Costeo!$C$36)&lt;=2000,10,IF((0*Costeo!$B$36+$A124*Costeo!$C$36)&lt;=5000,15,IF((0*Costeo!$B$36+$A124*Costeo!$C$36)&lt;=10000,60,110)))-10)*Costeo!$B$51,2))+(ROUND((MAX(0,(0*Costeo!$B$130+$A124*Costeo!$C$130+0*Costeo!$D$130+0*Costeo!$E$130)+20*2*2*Costeo!$B$69+30*(1/3600*Costeo!$B$55+5/3600*Costeo!$B$56)-Costeo!$B$58)+IF(AND((0*Costeo!$B$120+$A124*Costeo!$C$120+0*Costeo!$D$120+0*Costeo!$E$120)&lt;=1000000,(0*Costeo!$B$119+$A124*Costeo!$C$119+0*Costeo!$D$119+0*Costeo!$E$119)&lt;=1000),0,IF((0*Costeo!$B$120+$A124*Costeo!$C$120+0*Costeo!$D$120+0*Costeo!$E$120)&lt;=10000000,20,IF((0*Costeo!$B$120+$A124*Costeo!$C$120+0*Costeo!$D$120+0*Costeo!$E$120)&lt;=50000000,100,300)))+MAX(0,ROUNDUP((0*Costeo!$B$36+$A124*Costeo!$C$36+0*Costeo!$D$36+0*Costeo!$E$36)/5000,0)-1)*Costeo!$B$62+IF((0*Costeo!$B$36+$A124*Costeo!$C$36+0*Costeo!$D$36+0*Costeo!$E$36)&gt;5000,32-Costeo!$B$61,0))*Costeo!$B$51,2))))&gt;=0),$A124,1000000000)</f>
        <v>1000000000</v>
      </c>
      <c r="D124" s="121">
        <f>IF(AND($A124*Costeo!$D$36&lt;=10000,(($A124)*$D$11-$B$4-((ROUND((MAX(0,(0*Costeo!$B$117+0*Costeo!$C$117+$A124*Costeo!$D$117+0*Costeo!$E$117)-100)*Costeo!$B$53+MAX(0,(0*Costeo!$B$118+0*Costeo!$C$118+$A124*Costeo!$D$118+0*Costeo!$E$118)-250)*Costeo!$B$52+(MAX(0,ROUNDUP(((0*Costeo!$B$116+0*Costeo!$C$116)+($A124*Costeo!$D$116+0*Costeo!$E$116)*0.05)*2,0)-8)+(0*Costeo!$B$131+0*Costeo!$C$131+$A124*Costeo!$D$131+0*Costeo!$E$131))*Costeo!$B$54+IF((0*Costeo!$B$36+0*Costeo!$C$36)&lt;=2000,10,IF((0*Costeo!$B$36+0*Costeo!$C$36)&lt;=5000,15,IF((0*Costeo!$B$36+0*Costeo!$C$36)&lt;=10000,60,110)))-10)*Costeo!$B$51,2))+(ROUND((MAX(0,(0*Costeo!$B$130+0*Costeo!$C$130+$A124*Costeo!$D$130+0*Costeo!$E$130)+20*2*2*Costeo!$B$69+30*(1/3600*Costeo!$B$55+5/3600*Costeo!$B$56)-Costeo!$B$58)+IF(AND((0*Costeo!$B$120+0*Costeo!$C$120+$A124*Costeo!$D$120+0*Costeo!$E$120)&lt;=1000000,(0*Costeo!$B$119+0*Costeo!$C$119+$A124*Costeo!$D$119+0*Costeo!$E$119)&lt;=1000),0,IF((0*Costeo!$B$120+0*Costeo!$C$120+$A124*Costeo!$D$120+0*Costeo!$E$120)&lt;=10000000,20,IF((0*Costeo!$B$120+0*Costeo!$C$120+$A124*Costeo!$D$120+0*Costeo!$E$120)&lt;=50000000,100,300)))+MAX(0,ROUNDUP((0*Costeo!$B$36+0*Costeo!$C$36+$A124*Costeo!$D$36+0*Costeo!$E$36)/5000,0)-1)*Costeo!$B$62+IF((0*Costeo!$B$36+0*Costeo!$C$36+$A124*Costeo!$D$36+0*Costeo!$E$36)&gt;5000,32-Costeo!$B$61,0))*Costeo!$B$51,2))))&gt;=0),$A124,1000000000)</f>
        <v>1000000000</v>
      </c>
      <c r="E124" s="121">
        <f>IF(AND($A124*Costeo!$E$36&lt;=10000,(($A124)*$D$12-$B$4-((ROUND((MAX(0,(0*Costeo!$B$117+0*Costeo!$C$117+0*Costeo!$D$117+$A124*Costeo!$E$117)-100)*Costeo!$B$53+MAX(0,(0*Costeo!$B$118+0*Costeo!$C$118+0*Costeo!$D$118+$A124*Costeo!$E$118)-250)*Costeo!$B$52+(MAX(0,ROUNDUP(((0*Costeo!$B$116+0*Costeo!$C$116)+(0*Costeo!$D$116+$A124*Costeo!$E$116)*0.05)*2,0)-8)+(0*Costeo!$B$131+0*Costeo!$C$131+0*Costeo!$D$131+$A124*Costeo!$E$131))*Costeo!$B$54+IF((0*Costeo!$B$36+0*Costeo!$C$36)&lt;=2000,10,IF((0*Costeo!$B$36+0*Costeo!$C$36)&lt;=5000,15,IF((0*Costeo!$B$36+0*Costeo!$C$36)&lt;=10000,60,110)))-10)*Costeo!$B$51,2))+(ROUND((MAX(0,(0*Costeo!$B$130+0*Costeo!$C$130+0*Costeo!$D$130+$A124*Costeo!$E$130)+20*2*2*Costeo!$B$69+30*(1/3600*Costeo!$B$55+5/3600*Costeo!$B$56)-Costeo!$B$58)+IF(AND((0*Costeo!$B$120+0*Costeo!$C$120+0*Costeo!$D$120+$A124*Costeo!$E$120)&lt;=1000000,(0*Costeo!$B$119+0*Costeo!$C$119+0*Costeo!$D$119+$A124*Costeo!$E$119)&lt;=1000),0,IF((0*Costeo!$B$120+0*Costeo!$C$120+0*Costeo!$D$120+$A124*Costeo!$E$120)&lt;=10000000,20,IF((0*Costeo!$B$120+0*Costeo!$C$120+0*Costeo!$D$120+$A124*Costeo!$E$120)&lt;=50000000,100,300)))+MAX(0,ROUNDUP((0*Costeo!$B$36+0*Costeo!$C$36+0*Costeo!$D$36+$A124*Costeo!$E$36)/5000,0)-1)*Costeo!$B$62+IF((0*Costeo!$B$36+0*Costeo!$C$36+0*Costeo!$D$36+$A124*Costeo!$E$36)&gt;5000,32-Costeo!$B$61,0))*Costeo!$B$51,2))))&gt;=0),$A124,1000000000)</f>
        <v>1000000000</v>
      </c>
    </row>
    <row r="125" hidden="1" outlineLevel="1" ht="30" customHeight="1" s="61">
      <c r="A125" s="52" t="n">
        <v>74</v>
      </c>
      <c r="B125" s="121">
        <f>IF(AND($A125*Costeo!$B$36&lt;=10000,(($A125)*$D$9-$B$4-((ROUND((MAX(0,($A125*Costeo!$B$117+0*Costeo!$C$117+0*Costeo!$D$117+0*Costeo!$E$117)-100)*Costeo!$B$53+MAX(0,($A125*Costeo!$B$118+0*Costeo!$C$118+0*Costeo!$D$118+0*Costeo!$E$118)-250)*Costeo!$B$52+(MAX(0,ROUNDUP((($A125*Costeo!$B$116+0*Costeo!$C$116)+(0*Costeo!$D$116+0*Costeo!$E$116)*0.05)*2,0)-8)+($A125*Costeo!$B$131+0*Costeo!$C$131+0*Costeo!$D$131+0*Costeo!$E$131))*Costeo!$B$54+IF(($A125*Costeo!$B$36+0*Costeo!$C$36)&lt;=2000,10,IF(($A125*Costeo!$B$36+0*Costeo!$C$36)&lt;=5000,15,IF(($A125*Costeo!$B$36+0*Costeo!$C$36)&lt;=10000,60,110)))-10)*Costeo!$B$51,2))+(ROUND((MAX(0,($A125*Costeo!$B$130+0*Costeo!$C$130+0*Costeo!$D$130+0*Costeo!$E$130)+20*2*2*Costeo!$B$69+30*(1/3600*Costeo!$B$55+5/3600*Costeo!$B$56)-Costeo!$B$58)+IF(AND(($A125*Costeo!$B$120+0*Costeo!$C$120+0*Costeo!$D$120+0*Costeo!$E$120)&lt;=1000000,($A125*Costeo!$B$119+0*Costeo!$C$119+0*Costeo!$D$119+0*Costeo!$E$119)&lt;=1000),0,IF(($A125*Costeo!$B$120+0*Costeo!$C$120+0*Costeo!$D$120+0*Costeo!$E$120)&lt;=10000000,20,IF(($A125*Costeo!$B$120+0*Costeo!$C$120+0*Costeo!$D$120+0*Costeo!$E$120)&lt;=50000000,100,300)))+MAX(0,ROUNDUP(($A125*Costeo!$B$36+0*Costeo!$C$36+0*Costeo!$D$36+0*Costeo!$E$36)/5000,0)-1)*Costeo!$B$62+IF(($A125*Costeo!$B$36+0*Costeo!$C$36+0*Costeo!$D$36+0*Costeo!$E$36)&gt;5000,32-Costeo!$B$61,0))*Costeo!$B$51,2))))&gt;=0),$A125,1000000000)</f>
        <v>74</v>
      </c>
      <c r="C125" s="121">
        <f>IF(AND($A125*Costeo!$C$36&lt;=10000,(($A125)*$D$10-$B$4-((ROUND((MAX(0,(0*Costeo!$B$117+$A125*Costeo!$C$117+0*Costeo!$D$117+0*Costeo!$E$117)-100)*Costeo!$B$53+MAX(0,(0*Costeo!$B$118+$A125*Costeo!$C$118+0*Costeo!$D$118+0*Costeo!$E$118)-250)*Costeo!$B$52+(MAX(0,ROUNDUP(((0*Costeo!$B$116+$A125*Costeo!$C$116)+(0*Costeo!$D$116+0*Costeo!$E$116)*0.05)*2,0)-8)+(0*Costeo!$B$131+$A125*Costeo!$C$131+0*Costeo!$D$131+0*Costeo!$E$131))*Costeo!$B$54+IF((0*Costeo!$B$36+$A125*Costeo!$C$36)&lt;=2000,10,IF((0*Costeo!$B$36+$A125*Costeo!$C$36)&lt;=5000,15,IF((0*Costeo!$B$36+$A125*Costeo!$C$36)&lt;=10000,60,110)))-10)*Costeo!$B$51,2))+(ROUND((MAX(0,(0*Costeo!$B$130+$A125*Costeo!$C$130+0*Costeo!$D$130+0*Costeo!$E$130)+20*2*2*Costeo!$B$69+30*(1/3600*Costeo!$B$55+5/3600*Costeo!$B$56)-Costeo!$B$58)+IF(AND((0*Costeo!$B$120+$A125*Costeo!$C$120+0*Costeo!$D$120+0*Costeo!$E$120)&lt;=1000000,(0*Costeo!$B$119+$A125*Costeo!$C$119+0*Costeo!$D$119+0*Costeo!$E$119)&lt;=1000),0,IF((0*Costeo!$B$120+$A125*Costeo!$C$120+0*Costeo!$D$120+0*Costeo!$E$120)&lt;=10000000,20,IF((0*Costeo!$B$120+$A125*Costeo!$C$120+0*Costeo!$D$120+0*Costeo!$E$120)&lt;=50000000,100,300)))+MAX(0,ROUNDUP((0*Costeo!$B$36+$A125*Costeo!$C$36+0*Costeo!$D$36+0*Costeo!$E$36)/5000,0)-1)*Costeo!$B$62+IF((0*Costeo!$B$36+$A125*Costeo!$C$36+0*Costeo!$D$36+0*Costeo!$E$36)&gt;5000,32-Costeo!$B$61,0))*Costeo!$B$51,2))))&gt;=0),$A125,1000000000)</f>
        <v>1000000000</v>
      </c>
      <c r="D125" s="121">
        <f>IF(AND($A125*Costeo!$D$36&lt;=10000,(($A125)*$D$11-$B$4-((ROUND((MAX(0,(0*Costeo!$B$117+0*Costeo!$C$117+$A125*Costeo!$D$117+0*Costeo!$E$117)-100)*Costeo!$B$53+MAX(0,(0*Costeo!$B$118+0*Costeo!$C$118+$A125*Costeo!$D$118+0*Costeo!$E$118)-250)*Costeo!$B$52+(MAX(0,ROUNDUP(((0*Costeo!$B$116+0*Costeo!$C$116)+($A125*Costeo!$D$116+0*Costeo!$E$116)*0.05)*2,0)-8)+(0*Costeo!$B$131+0*Costeo!$C$131+$A125*Costeo!$D$131+0*Costeo!$E$131))*Costeo!$B$54+IF((0*Costeo!$B$36+0*Costeo!$C$36)&lt;=2000,10,IF((0*Costeo!$B$36+0*Costeo!$C$36)&lt;=5000,15,IF((0*Costeo!$B$36+0*Costeo!$C$36)&lt;=10000,60,110)))-10)*Costeo!$B$51,2))+(ROUND((MAX(0,(0*Costeo!$B$130+0*Costeo!$C$130+$A125*Costeo!$D$130+0*Costeo!$E$130)+20*2*2*Costeo!$B$69+30*(1/3600*Costeo!$B$55+5/3600*Costeo!$B$56)-Costeo!$B$58)+IF(AND((0*Costeo!$B$120+0*Costeo!$C$120+$A125*Costeo!$D$120+0*Costeo!$E$120)&lt;=1000000,(0*Costeo!$B$119+0*Costeo!$C$119+$A125*Costeo!$D$119+0*Costeo!$E$119)&lt;=1000),0,IF((0*Costeo!$B$120+0*Costeo!$C$120+$A125*Costeo!$D$120+0*Costeo!$E$120)&lt;=10000000,20,IF((0*Costeo!$B$120+0*Costeo!$C$120+$A125*Costeo!$D$120+0*Costeo!$E$120)&lt;=50000000,100,300)))+MAX(0,ROUNDUP((0*Costeo!$B$36+0*Costeo!$C$36+$A125*Costeo!$D$36+0*Costeo!$E$36)/5000,0)-1)*Costeo!$B$62+IF((0*Costeo!$B$36+0*Costeo!$C$36+$A125*Costeo!$D$36+0*Costeo!$E$36)&gt;5000,32-Costeo!$B$61,0))*Costeo!$B$51,2))))&gt;=0),$A125,1000000000)</f>
        <v>1000000000</v>
      </c>
      <c r="E125" s="121">
        <f>IF(AND($A125*Costeo!$E$36&lt;=10000,(($A125)*$D$12-$B$4-((ROUND((MAX(0,(0*Costeo!$B$117+0*Costeo!$C$117+0*Costeo!$D$117+$A125*Costeo!$E$117)-100)*Costeo!$B$53+MAX(0,(0*Costeo!$B$118+0*Costeo!$C$118+0*Costeo!$D$118+$A125*Costeo!$E$118)-250)*Costeo!$B$52+(MAX(0,ROUNDUP(((0*Costeo!$B$116+0*Costeo!$C$116)+(0*Costeo!$D$116+$A125*Costeo!$E$116)*0.05)*2,0)-8)+(0*Costeo!$B$131+0*Costeo!$C$131+0*Costeo!$D$131+$A125*Costeo!$E$131))*Costeo!$B$54+IF((0*Costeo!$B$36+0*Costeo!$C$36)&lt;=2000,10,IF((0*Costeo!$B$36+0*Costeo!$C$36)&lt;=5000,15,IF((0*Costeo!$B$36+0*Costeo!$C$36)&lt;=10000,60,110)))-10)*Costeo!$B$51,2))+(ROUND((MAX(0,(0*Costeo!$B$130+0*Costeo!$C$130+0*Costeo!$D$130+$A125*Costeo!$E$130)+20*2*2*Costeo!$B$69+30*(1/3600*Costeo!$B$55+5/3600*Costeo!$B$56)-Costeo!$B$58)+IF(AND((0*Costeo!$B$120+0*Costeo!$C$120+0*Costeo!$D$120+$A125*Costeo!$E$120)&lt;=1000000,(0*Costeo!$B$119+0*Costeo!$C$119+0*Costeo!$D$119+$A125*Costeo!$E$119)&lt;=1000),0,IF((0*Costeo!$B$120+0*Costeo!$C$120+0*Costeo!$D$120+$A125*Costeo!$E$120)&lt;=10000000,20,IF((0*Costeo!$B$120+0*Costeo!$C$120+0*Costeo!$D$120+$A125*Costeo!$E$120)&lt;=50000000,100,300)))+MAX(0,ROUNDUP((0*Costeo!$B$36+0*Costeo!$C$36+0*Costeo!$D$36+$A125*Costeo!$E$36)/5000,0)-1)*Costeo!$B$62+IF((0*Costeo!$B$36+0*Costeo!$C$36+0*Costeo!$D$36+$A125*Costeo!$E$36)&gt;5000,32-Costeo!$B$61,0))*Costeo!$B$51,2))))&gt;=0),$A125,1000000000)</f>
        <v>1000000000</v>
      </c>
    </row>
    <row r="126" hidden="1" outlineLevel="1" ht="30" customHeight="1" s="61">
      <c r="A126" s="52" t="n">
        <v>75</v>
      </c>
      <c r="B126" s="121">
        <f>IF(AND($A126*Costeo!$B$36&lt;=10000,(($A126)*$D$9-$B$4-((ROUND((MAX(0,($A126*Costeo!$B$117+0*Costeo!$C$117+0*Costeo!$D$117+0*Costeo!$E$117)-100)*Costeo!$B$53+MAX(0,($A126*Costeo!$B$118+0*Costeo!$C$118+0*Costeo!$D$118+0*Costeo!$E$118)-250)*Costeo!$B$52+(MAX(0,ROUNDUP((($A126*Costeo!$B$116+0*Costeo!$C$116)+(0*Costeo!$D$116+0*Costeo!$E$116)*0.05)*2,0)-8)+($A126*Costeo!$B$131+0*Costeo!$C$131+0*Costeo!$D$131+0*Costeo!$E$131))*Costeo!$B$54+IF(($A126*Costeo!$B$36+0*Costeo!$C$36)&lt;=2000,10,IF(($A126*Costeo!$B$36+0*Costeo!$C$36)&lt;=5000,15,IF(($A126*Costeo!$B$36+0*Costeo!$C$36)&lt;=10000,60,110)))-10)*Costeo!$B$51,2))+(ROUND((MAX(0,($A126*Costeo!$B$130+0*Costeo!$C$130+0*Costeo!$D$130+0*Costeo!$E$130)+20*2*2*Costeo!$B$69+30*(1/3600*Costeo!$B$55+5/3600*Costeo!$B$56)-Costeo!$B$58)+IF(AND(($A126*Costeo!$B$120+0*Costeo!$C$120+0*Costeo!$D$120+0*Costeo!$E$120)&lt;=1000000,($A126*Costeo!$B$119+0*Costeo!$C$119+0*Costeo!$D$119+0*Costeo!$E$119)&lt;=1000),0,IF(($A126*Costeo!$B$120+0*Costeo!$C$120+0*Costeo!$D$120+0*Costeo!$E$120)&lt;=10000000,20,IF(($A126*Costeo!$B$120+0*Costeo!$C$120+0*Costeo!$D$120+0*Costeo!$E$120)&lt;=50000000,100,300)))+MAX(0,ROUNDUP(($A126*Costeo!$B$36+0*Costeo!$C$36+0*Costeo!$D$36+0*Costeo!$E$36)/5000,0)-1)*Costeo!$B$62+IF(($A126*Costeo!$B$36+0*Costeo!$C$36+0*Costeo!$D$36+0*Costeo!$E$36)&gt;5000,32-Costeo!$B$61,0))*Costeo!$B$51,2))))&gt;=0),$A126,1000000000)</f>
        <v>75</v>
      </c>
      <c r="C126" s="121">
        <f>IF(AND($A126*Costeo!$C$36&lt;=10000,(($A126)*$D$10-$B$4-((ROUND((MAX(0,(0*Costeo!$B$117+$A126*Costeo!$C$117+0*Costeo!$D$117+0*Costeo!$E$117)-100)*Costeo!$B$53+MAX(0,(0*Costeo!$B$118+$A126*Costeo!$C$118+0*Costeo!$D$118+0*Costeo!$E$118)-250)*Costeo!$B$52+(MAX(0,ROUNDUP(((0*Costeo!$B$116+$A126*Costeo!$C$116)+(0*Costeo!$D$116+0*Costeo!$E$116)*0.05)*2,0)-8)+(0*Costeo!$B$131+$A126*Costeo!$C$131+0*Costeo!$D$131+0*Costeo!$E$131))*Costeo!$B$54+IF((0*Costeo!$B$36+$A126*Costeo!$C$36)&lt;=2000,10,IF((0*Costeo!$B$36+$A126*Costeo!$C$36)&lt;=5000,15,IF((0*Costeo!$B$36+$A126*Costeo!$C$36)&lt;=10000,60,110)))-10)*Costeo!$B$51,2))+(ROUND((MAX(0,(0*Costeo!$B$130+$A126*Costeo!$C$130+0*Costeo!$D$130+0*Costeo!$E$130)+20*2*2*Costeo!$B$69+30*(1/3600*Costeo!$B$55+5/3600*Costeo!$B$56)-Costeo!$B$58)+IF(AND((0*Costeo!$B$120+$A126*Costeo!$C$120+0*Costeo!$D$120+0*Costeo!$E$120)&lt;=1000000,(0*Costeo!$B$119+$A126*Costeo!$C$119+0*Costeo!$D$119+0*Costeo!$E$119)&lt;=1000),0,IF((0*Costeo!$B$120+$A126*Costeo!$C$120+0*Costeo!$D$120+0*Costeo!$E$120)&lt;=10000000,20,IF((0*Costeo!$B$120+$A126*Costeo!$C$120+0*Costeo!$D$120+0*Costeo!$E$120)&lt;=50000000,100,300)))+MAX(0,ROUNDUP((0*Costeo!$B$36+$A126*Costeo!$C$36+0*Costeo!$D$36+0*Costeo!$E$36)/5000,0)-1)*Costeo!$B$62+IF((0*Costeo!$B$36+$A126*Costeo!$C$36+0*Costeo!$D$36+0*Costeo!$E$36)&gt;5000,32-Costeo!$B$61,0))*Costeo!$B$51,2))))&gt;=0),$A126,1000000000)</f>
        <v>1000000000</v>
      </c>
      <c r="D126" s="121">
        <f>IF(AND($A126*Costeo!$D$36&lt;=10000,(($A126)*$D$11-$B$4-((ROUND((MAX(0,(0*Costeo!$B$117+0*Costeo!$C$117+$A126*Costeo!$D$117+0*Costeo!$E$117)-100)*Costeo!$B$53+MAX(0,(0*Costeo!$B$118+0*Costeo!$C$118+$A126*Costeo!$D$118+0*Costeo!$E$118)-250)*Costeo!$B$52+(MAX(0,ROUNDUP(((0*Costeo!$B$116+0*Costeo!$C$116)+($A126*Costeo!$D$116+0*Costeo!$E$116)*0.05)*2,0)-8)+(0*Costeo!$B$131+0*Costeo!$C$131+$A126*Costeo!$D$131+0*Costeo!$E$131))*Costeo!$B$54+IF((0*Costeo!$B$36+0*Costeo!$C$36)&lt;=2000,10,IF((0*Costeo!$B$36+0*Costeo!$C$36)&lt;=5000,15,IF((0*Costeo!$B$36+0*Costeo!$C$36)&lt;=10000,60,110)))-10)*Costeo!$B$51,2))+(ROUND((MAX(0,(0*Costeo!$B$130+0*Costeo!$C$130+$A126*Costeo!$D$130+0*Costeo!$E$130)+20*2*2*Costeo!$B$69+30*(1/3600*Costeo!$B$55+5/3600*Costeo!$B$56)-Costeo!$B$58)+IF(AND((0*Costeo!$B$120+0*Costeo!$C$120+$A126*Costeo!$D$120+0*Costeo!$E$120)&lt;=1000000,(0*Costeo!$B$119+0*Costeo!$C$119+$A126*Costeo!$D$119+0*Costeo!$E$119)&lt;=1000),0,IF((0*Costeo!$B$120+0*Costeo!$C$120+$A126*Costeo!$D$120+0*Costeo!$E$120)&lt;=10000000,20,IF((0*Costeo!$B$120+0*Costeo!$C$120+$A126*Costeo!$D$120+0*Costeo!$E$120)&lt;=50000000,100,300)))+MAX(0,ROUNDUP((0*Costeo!$B$36+0*Costeo!$C$36+$A126*Costeo!$D$36+0*Costeo!$E$36)/5000,0)-1)*Costeo!$B$62+IF((0*Costeo!$B$36+0*Costeo!$C$36+$A126*Costeo!$D$36+0*Costeo!$E$36)&gt;5000,32-Costeo!$B$61,0))*Costeo!$B$51,2))))&gt;=0),$A126,1000000000)</f>
        <v>1000000000</v>
      </c>
      <c r="E126" s="121">
        <f>IF(AND($A126*Costeo!$E$36&lt;=10000,(($A126)*$D$12-$B$4-((ROUND((MAX(0,(0*Costeo!$B$117+0*Costeo!$C$117+0*Costeo!$D$117+$A126*Costeo!$E$117)-100)*Costeo!$B$53+MAX(0,(0*Costeo!$B$118+0*Costeo!$C$118+0*Costeo!$D$118+$A126*Costeo!$E$118)-250)*Costeo!$B$52+(MAX(0,ROUNDUP(((0*Costeo!$B$116+0*Costeo!$C$116)+(0*Costeo!$D$116+$A126*Costeo!$E$116)*0.05)*2,0)-8)+(0*Costeo!$B$131+0*Costeo!$C$131+0*Costeo!$D$131+$A126*Costeo!$E$131))*Costeo!$B$54+IF((0*Costeo!$B$36+0*Costeo!$C$36)&lt;=2000,10,IF((0*Costeo!$B$36+0*Costeo!$C$36)&lt;=5000,15,IF((0*Costeo!$B$36+0*Costeo!$C$36)&lt;=10000,60,110)))-10)*Costeo!$B$51,2))+(ROUND((MAX(0,(0*Costeo!$B$130+0*Costeo!$C$130+0*Costeo!$D$130+$A126*Costeo!$E$130)+20*2*2*Costeo!$B$69+30*(1/3600*Costeo!$B$55+5/3600*Costeo!$B$56)-Costeo!$B$58)+IF(AND((0*Costeo!$B$120+0*Costeo!$C$120+0*Costeo!$D$120+$A126*Costeo!$E$120)&lt;=1000000,(0*Costeo!$B$119+0*Costeo!$C$119+0*Costeo!$D$119+$A126*Costeo!$E$119)&lt;=1000),0,IF((0*Costeo!$B$120+0*Costeo!$C$120+0*Costeo!$D$120+$A126*Costeo!$E$120)&lt;=10000000,20,IF((0*Costeo!$B$120+0*Costeo!$C$120+0*Costeo!$D$120+$A126*Costeo!$E$120)&lt;=50000000,100,300)))+MAX(0,ROUNDUP((0*Costeo!$B$36+0*Costeo!$C$36+0*Costeo!$D$36+$A126*Costeo!$E$36)/5000,0)-1)*Costeo!$B$62+IF((0*Costeo!$B$36+0*Costeo!$C$36+0*Costeo!$D$36+$A126*Costeo!$E$36)&gt;5000,32-Costeo!$B$61,0))*Costeo!$B$51,2))))&gt;=0),$A126,1000000000)</f>
        <v>1000000000</v>
      </c>
    </row>
    <row r="127" hidden="1" outlineLevel="1" ht="30" customHeight="1" s="61">
      <c r="A127" s="52" t="n">
        <v>76</v>
      </c>
      <c r="B127" s="121">
        <f>IF(AND($A127*Costeo!$B$36&lt;=10000,(($A127)*$D$9-$B$4-((ROUND((MAX(0,($A127*Costeo!$B$117+0*Costeo!$C$117+0*Costeo!$D$117+0*Costeo!$E$117)-100)*Costeo!$B$53+MAX(0,($A127*Costeo!$B$118+0*Costeo!$C$118+0*Costeo!$D$118+0*Costeo!$E$118)-250)*Costeo!$B$52+(MAX(0,ROUNDUP((($A127*Costeo!$B$116+0*Costeo!$C$116)+(0*Costeo!$D$116+0*Costeo!$E$116)*0.05)*2,0)-8)+($A127*Costeo!$B$131+0*Costeo!$C$131+0*Costeo!$D$131+0*Costeo!$E$131))*Costeo!$B$54+IF(($A127*Costeo!$B$36+0*Costeo!$C$36)&lt;=2000,10,IF(($A127*Costeo!$B$36+0*Costeo!$C$36)&lt;=5000,15,IF(($A127*Costeo!$B$36+0*Costeo!$C$36)&lt;=10000,60,110)))-10)*Costeo!$B$51,2))+(ROUND((MAX(0,($A127*Costeo!$B$130+0*Costeo!$C$130+0*Costeo!$D$130+0*Costeo!$E$130)+20*2*2*Costeo!$B$69+30*(1/3600*Costeo!$B$55+5/3600*Costeo!$B$56)-Costeo!$B$58)+IF(AND(($A127*Costeo!$B$120+0*Costeo!$C$120+0*Costeo!$D$120+0*Costeo!$E$120)&lt;=1000000,($A127*Costeo!$B$119+0*Costeo!$C$119+0*Costeo!$D$119+0*Costeo!$E$119)&lt;=1000),0,IF(($A127*Costeo!$B$120+0*Costeo!$C$120+0*Costeo!$D$120+0*Costeo!$E$120)&lt;=10000000,20,IF(($A127*Costeo!$B$120+0*Costeo!$C$120+0*Costeo!$D$120+0*Costeo!$E$120)&lt;=50000000,100,300)))+MAX(0,ROUNDUP(($A127*Costeo!$B$36+0*Costeo!$C$36+0*Costeo!$D$36+0*Costeo!$E$36)/5000,0)-1)*Costeo!$B$62+IF(($A127*Costeo!$B$36+0*Costeo!$C$36+0*Costeo!$D$36+0*Costeo!$E$36)&gt;5000,32-Costeo!$B$61,0))*Costeo!$B$51,2))))&gt;=0),$A127,1000000000)</f>
        <v>76</v>
      </c>
      <c r="C127" s="121">
        <f>IF(AND($A127*Costeo!$C$36&lt;=10000,(($A127)*$D$10-$B$4-((ROUND((MAX(0,(0*Costeo!$B$117+$A127*Costeo!$C$117+0*Costeo!$D$117+0*Costeo!$E$117)-100)*Costeo!$B$53+MAX(0,(0*Costeo!$B$118+$A127*Costeo!$C$118+0*Costeo!$D$118+0*Costeo!$E$118)-250)*Costeo!$B$52+(MAX(0,ROUNDUP(((0*Costeo!$B$116+$A127*Costeo!$C$116)+(0*Costeo!$D$116+0*Costeo!$E$116)*0.05)*2,0)-8)+(0*Costeo!$B$131+$A127*Costeo!$C$131+0*Costeo!$D$131+0*Costeo!$E$131))*Costeo!$B$54+IF((0*Costeo!$B$36+$A127*Costeo!$C$36)&lt;=2000,10,IF((0*Costeo!$B$36+$A127*Costeo!$C$36)&lt;=5000,15,IF((0*Costeo!$B$36+$A127*Costeo!$C$36)&lt;=10000,60,110)))-10)*Costeo!$B$51,2))+(ROUND((MAX(0,(0*Costeo!$B$130+$A127*Costeo!$C$130+0*Costeo!$D$130+0*Costeo!$E$130)+20*2*2*Costeo!$B$69+30*(1/3600*Costeo!$B$55+5/3600*Costeo!$B$56)-Costeo!$B$58)+IF(AND((0*Costeo!$B$120+$A127*Costeo!$C$120+0*Costeo!$D$120+0*Costeo!$E$120)&lt;=1000000,(0*Costeo!$B$119+$A127*Costeo!$C$119+0*Costeo!$D$119+0*Costeo!$E$119)&lt;=1000),0,IF((0*Costeo!$B$120+$A127*Costeo!$C$120+0*Costeo!$D$120+0*Costeo!$E$120)&lt;=10000000,20,IF((0*Costeo!$B$120+$A127*Costeo!$C$120+0*Costeo!$D$120+0*Costeo!$E$120)&lt;=50000000,100,300)))+MAX(0,ROUNDUP((0*Costeo!$B$36+$A127*Costeo!$C$36+0*Costeo!$D$36+0*Costeo!$E$36)/5000,0)-1)*Costeo!$B$62+IF((0*Costeo!$B$36+$A127*Costeo!$C$36+0*Costeo!$D$36+0*Costeo!$E$36)&gt;5000,32-Costeo!$B$61,0))*Costeo!$B$51,2))))&gt;=0),$A127,1000000000)</f>
        <v>1000000000</v>
      </c>
      <c r="D127" s="121">
        <f>IF(AND($A127*Costeo!$D$36&lt;=10000,(($A127)*$D$11-$B$4-((ROUND((MAX(0,(0*Costeo!$B$117+0*Costeo!$C$117+$A127*Costeo!$D$117+0*Costeo!$E$117)-100)*Costeo!$B$53+MAX(0,(0*Costeo!$B$118+0*Costeo!$C$118+$A127*Costeo!$D$118+0*Costeo!$E$118)-250)*Costeo!$B$52+(MAX(0,ROUNDUP(((0*Costeo!$B$116+0*Costeo!$C$116)+($A127*Costeo!$D$116+0*Costeo!$E$116)*0.05)*2,0)-8)+(0*Costeo!$B$131+0*Costeo!$C$131+$A127*Costeo!$D$131+0*Costeo!$E$131))*Costeo!$B$54+IF((0*Costeo!$B$36+0*Costeo!$C$36)&lt;=2000,10,IF((0*Costeo!$B$36+0*Costeo!$C$36)&lt;=5000,15,IF((0*Costeo!$B$36+0*Costeo!$C$36)&lt;=10000,60,110)))-10)*Costeo!$B$51,2))+(ROUND((MAX(0,(0*Costeo!$B$130+0*Costeo!$C$130+$A127*Costeo!$D$130+0*Costeo!$E$130)+20*2*2*Costeo!$B$69+30*(1/3600*Costeo!$B$55+5/3600*Costeo!$B$56)-Costeo!$B$58)+IF(AND((0*Costeo!$B$120+0*Costeo!$C$120+$A127*Costeo!$D$120+0*Costeo!$E$120)&lt;=1000000,(0*Costeo!$B$119+0*Costeo!$C$119+$A127*Costeo!$D$119+0*Costeo!$E$119)&lt;=1000),0,IF((0*Costeo!$B$120+0*Costeo!$C$120+$A127*Costeo!$D$120+0*Costeo!$E$120)&lt;=10000000,20,IF((0*Costeo!$B$120+0*Costeo!$C$120+$A127*Costeo!$D$120+0*Costeo!$E$120)&lt;=50000000,100,300)))+MAX(0,ROUNDUP((0*Costeo!$B$36+0*Costeo!$C$36+$A127*Costeo!$D$36+0*Costeo!$E$36)/5000,0)-1)*Costeo!$B$62+IF((0*Costeo!$B$36+0*Costeo!$C$36+$A127*Costeo!$D$36+0*Costeo!$E$36)&gt;5000,32-Costeo!$B$61,0))*Costeo!$B$51,2))))&gt;=0),$A127,1000000000)</f>
        <v>1000000000</v>
      </c>
      <c r="E127" s="121">
        <f>IF(AND($A127*Costeo!$E$36&lt;=10000,(($A127)*$D$12-$B$4-((ROUND((MAX(0,(0*Costeo!$B$117+0*Costeo!$C$117+0*Costeo!$D$117+$A127*Costeo!$E$117)-100)*Costeo!$B$53+MAX(0,(0*Costeo!$B$118+0*Costeo!$C$118+0*Costeo!$D$118+$A127*Costeo!$E$118)-250)*Costeo!$B$52+(MAX(0,ROUNDUP(((0*Costeo!$B$116+0*Costeo!$C$116)+(0*Costeo!$D$116+$A127*Costeo!$E$116)*0.05)*2,0)-8)+(0*Costeo!$B$131+0*Costeo!$C$131+0*Costeo!$D$131+$A127*Costeo!$E$131))*Costeo!$B$54+IF((0*Costeo!$B$36+0*Costeo!$C$36)&lt;=2000,10,IF((0*Costeo!$B$36+0*Costeo!$C$36)&lt;=5000,15,IF((0*Costeo!$B$36+0*Costeo!$C$36)&lt;=10000,60,110)))-10)*Costeo!$B$51,2))+(ROUND((MAX(0,(0*Costeo!$B$130+0*Costeo!$C$130+0*Costeo!$D$130+$A127*Costeo!$E$130)+20*2*2*Costeo!$B$69+30*(1/3600*Costeo!$B$55+5/3600*Costeo!$B$56)-Costeo!$B$58)+IF(AND((0*Costeo!$B$120+0*Costeo!$C$120+0*Costeo!$D$120+$A127*Costeo!$E$120)&lt;=1000000,(0*Costeo!$B$119+0*Costeo!$C$119+0*Costeo!$D$119+$A127*Costeo!$E$119)&lt;=1000),0,IF((0*Costeo!$B$120+0*Costeo!$C$120+0*Costeo!$D$120+$A127*Costeo!$E$120)&lt;=10000000,20,IF((0*Costeo!$B$120+0*Costeo!$C$120+0*Costeo!$D$120+$A127*Costeo!$E$120)&lt;=50000000,100,300)))+MAX(0,ROUNDUP((0*Costeo!$B$36+0*Costeo!$C$36+0*Costeo!$D$36+$A127*Costeo!$E$36)/5000,0)-1)*Costeo!$B$62+IF((0*Costeo!$B$36+0*Costeo!$C$36+0*Costeo!$D$36+$A127*Costeo!$E$36)&gt;5000,32-Costeo!$B$61,0))*Costeo!$B$51,2))))&gt;=0),$A127,1000000000)</f>
        <v>1000000000</v>
      </c>
    </row>
    <row r="128" hidden="1" outlineLevel="1" ht="30" customHeight="1" s="61">
      <c r="A128" s="52" t="n">
        <v>77</v>
      </c>
      <c r="B128" s="121">
        <f>IF(AND($A128*Costeo!$B$36&lt;=10000,(($A128)*$D$9-$B$4-((ROUND((MAX(0,($A128*Costeo!$B$117+0*Costeo!$C$117+0*Costeo!$D$117+0*Costeo!$E$117)-100)*Costeo!$B$53+MAX(0,($A128*Costeo!$B$118+0*Costeo!$C$118+0*Costeo!$D$118+0*Costeo!$E$118)-250)*Costeo!$B$52+(MAX(0,ROUNDUP((($A128*Costeo!$B$116+0*Costeo!$C$116)+(0*Costeo!$D$116+0*Costeo!$E$116)*0.05)*2,0)-8)+($A128*Costeo!$B$131+0*Costeo!$C$131+0*Costeo!$D$131+0*Costeo!$E$131))*Costeo!$B$54+IF(($A128*Costeo!$B$36+0*Costeo!$C$36)&lt;=2000,10,IF(($A128*Costeo!$B$36+0*Costeo!$C$36)&lt;=5000,15,IF(($A128*Costeo!$B$36+0*Costeo!$C$36)&lt;=10000,60,110)))-10)*Costeo!$B$51,2))+(ROUND((MAX(0,($A128*Costeo!$B$130+0*Costeo!$C$130+0*Costeo!$D$130+0*Costeo!$E$130)+20*2*2*Costeo!$B$69+30*(1/3600*Costeo!$B$55+5/3600*Costeo!$B$56)-Costeo!$B$58)+IF(AND(($A128*Costeo!$B$120+0*Costeo!$C$120+0*Costeo!$D$120+0*Costeo!$E$120)&lt;=1000000,($A128*Costeo!$B$119+0*Costeo!$C$119+0*Costeo!$D$119+0*Costeo!$E$119)&lt;=1000),0,IF(($A128*Costeo!$B$120+0*Costeo!$C$120+0*Costeo!$D$120+0*Costeo!$E$120)&lt;=10000000,20,IF(($A128*Costeo!$B$120+0*Costeo!$C$120+0*Costeo!$D$120+0*Costeo!$E$120)&lt;=50000000,100,300)))+MAX(0,ROUNDUP(($A128*Costeo!$B$36+0*Costeo!$C$36+0*Costeo!$D$36+0*Costeo!$E$36)/5000,0)-1)*Costeo!$B$62+IF(($A128*Costeo!$B$36+0*Costeo!$C$36+0*Costeo!$D$36+0*Costeo!$E$36)&gt;5000,32-Costeo!$B$61,0))*Costeo!$B$51,2))))&gt;=0),$A128,1000000000)</f>
        <v>77</v>
      </c>
      <c r="C128" s="121">
        <f>IF(AND($A128*Costeo!$C$36&lt;=10000,(($A128)*$D$10-$B$4-((ROUND((MAX(0,(0*Costeo!$B$117+$A128*Costeo!$C$117+0*Costeo!$D$117+0*Costeo!$E$117)-100)*Costeo!$B$53+MAX(0,(0*Costeo!$B$118+$A128*Costeo!$C$118+0*Costeo!$D$118+0*Costeo!$E$118)-250)*Costeo!$B$52+(MAX(0,ROUNDUP(((0*Costeo!$B$116+$A128*Costeo!$C$116)+(0*Costeo!$D$116+0*Costeo!$E$116)*0.05)*2,0)-8)+(0*Costeo!$B$131+$A128*Costeo!$C$131+0*Costeo!$D$131+0*Costeo!$E$131))*Costeo!$B$54+IF((0*Costeo!$B$36+$A128*Costeo!$C$36)&lt;=2000,10,IF((0*Costeo!$B$36+$A128*Costeo!$C$36)&lt;=5000,15,IF((0*Costeo!$B$36+$A128*Costeo!$C$36)&lt;=10000,60,110)))-10)*Costeo!$B$51,2))+(ROUND((MAX(0,(0*Costeo!$B$130+$A128*Costeo!$C$130+0*Costeo!$D$130+0*Costeo!$E$130)+20*2*2*Costeo!$B$69+30*(1/3600*Costeo!$B$55+5/3600*Costeo!$B$56)-Costeo!$B$58)+IF(AND((0*Costeo!$B$120+$A128*Costeo!$C$120+0*Costeo!$D$120+0*Costeo!$E$120)&lt;=1000000,(0*Costeo!$B$119+$A128*Costeo!$C$119+0*Costeo!$D$119+0*Costeo!$E$119)&lt;=1000),0,IF((0*Costeo!$B$120+$A128*Costeo!$C$120+0*Costeo!$D$120+0*Costeo!$E$120)&lt;=10000000,20,IF((0*Costeo!$B$120+$A128*Costeo!$C$120+0*Costeo!$D$120+0*Costeo!$E$120)&lt;=50000000,100,300)))+MAX(0,ROUNDUP((0*Costeo!$B$36+$A128*Costeo!$C$36+0*Costeo!$D$36+0*Costeo!$E$36)/5000,0)-1)*Costeo!$B$62+IF((0*Costeo!$B$36+$A128*Costeo!$C$36+0*Costeo!$D$36+0*Costeo!$E$36)&gt;5000,32-Costeo!$B$61,0))*Costeo!$B$51,2))))&gt;=0),$A128,1000000000)</f>
        <v>1000000000</v>
      </c>
      <c r="D128" s="121">
        <f>IF(AND($A128*Costeo!$D$36&lt;=10000,(($A128)*$D$11-$B$4-((ROUND((MAX(0,(0*Costeo!$B$117+0*Costeo!$C$117+$A128*Costeo!$D$117+0*Costeo!$E$117)-100)*Costeo!$B$53+MAX(0,(0*Costeo!$B$118+0*Costeo!$C$118+$A128*Costeo!$D$118+0*Costeo!$E$118)-250)*Costeo!$B$52+(MAX(0,ROUNDUP(((0*Costeo!$B$116+0*Costeo!$C$116)+($A128*Costeo!$D$116+0*Costeo!$E$116)*0.05)*2,0)-8)+(0*Costeo!$B$131+0*Costeo!$C$131+$A128*Costeo!$D$131+0*Costeo!$E$131))*Costeo!$B$54+IF((0*Costeo!$B$36+0*Costeo!$C$36)&lt;=2000,10,IF((0*Costeo!$B$36+0*Costeo!$C$36)&lt;=5000,15,IF((0*Costeo!$B$36+0*Costeo!$C$36)&lt;=10000,60,110)))-10)*Costeo!$B$51,2))+(ROUND((MAX(0,(0*Costeo!$B$130+0*Costeo!$C$130+$A128*Costeo!$D$130+0*Costeo!$E$130)+20*2*2*Costeo!$B$69+30*(1/3600*Costeo!$B$55+5/3600*Costeo!$B$56)-Costeo!$B$58)+IF(AND((0*Costeo!$B$120+0*Costeo!$C$120+$A128*Costeo!$D$120+0*Costeo!$E$120)&lt;=1000000,(0*Costeo!$B$119+0*Costeo!$C$119+$A128*Costeo!$D$119+0*Costeo!$E$119)&lt;=1000),0,IF((0*Costeo!$B$120+0*Costeo!$C$120+$A128*Costeo!$D$120+0*Costeo!$E$120)&lt;=10000000,20,IF((0*Costeo!$B$120+0*Costeo!$C$120+$A128*Costeo!$D$120+0*Costeo!$E$120)&lt;=50000000,100,300)))+MAX(0,ROUNDUP((0*Costeo!$B$36+0*Costeo!$C$36+$A128*Costeo!$D$36+0*Costeo!$E$36)/5000,0)-1)*Costeo!$B$62+IF((0*Costeo!$B$36+0*Costeo!$C$36+$A128*Costeo!$D$36+0*Costeo!$E$36)&gt;5000,32-Costeo!$B$61,0))*Costeo!$B$51,2))))&gt;=0),$A128,1000000000)</f>
        <v>1000000000</v>
      </c>
      <c r="E128" s="121">
        <f>IF(AND($A128*Costeo!$E$36&lt;=10000,(($A128)*$D$12-$B$4-((ROUND((MAX(0,(0*Costeo!$B$117+0*Costeo!$C$117+0*Costeo!$D$117+$A128*Costeo!$E$117)-100)*Costeo!$B$53+MAX(0,(0*Costeo!$B$118+0*Costeo!$C$118+0*Costeo!$D$118+$A128*Costeo!$E$118)-250)*Costeo!$B$52+(MAX(0,ROUNDUP(((0*Costeo!$B$116+0*Costeo!$C$116)+(0*Costeo!$D$116+$A128*Costeo!$E$116)*0.05)*2,0)-8)+(0*Costeo!$B$131+0*Costeo!$C$131+0*Costeo!$D$131+$A128*Costeo!$E$131))*Costeo!$B$54+IF((0*Costeo!$B$36+0*Costeo!$C$36)&lt;=2000,10,IF((0*Costeo!$B$36+0*Costeo!$C$36)&lt;=5000,15,IF((0*Costeo!$B$36+0*Costeo!$C$36)&lt;=10000,60,110)))-10)*Costeo!$B$51,2))+(ROUND((MAX(0,(0*Costeo!$B$130+0*Costeo!$C$130+0*Costeo!$D$130+$A128*Costeo!$E$130)+20*2*2*Costeo!$B$69+30*(1/3600*Costeo!$B$55+5/3600*Costeo!$B$56)-Costeo!$B$58)+IF(AND((0*Costeo!$B$120+0*Costeo!$C$120+0*Costeo!$D$120+$A128*Costeo!$E$120)&lt;=1000000,(0*Costeo!$B$119+0*Costeo!$C$119+0*Costeo!$D$119+$A128*Costeo!$E$119)&lt;=1000),0,IF((0*Costeo!$B$120+0*Costeo!$C$120+0*Costeo!$D$120+$A128*Costeo!$E$120)&lt;=10000000,20,IF((0*Costeo!$B$120+0*Costeo!$C$120+0*Costeo!$D$120+$A128*Costeo!$E$120)&lt;=50000000,100,300)))+MAX(0,ROUNDUP((0*Costeo!$B$36+0*Costeo!$C$36+0*Costeo!$D$36+$A128*Costeo!$E$36)/5000,0)-1)*Costeo!$B$62+IF((0*Costeo!$B$36+0*Costeo!$C$36+0*Costeo!$D$36+$A128*Costeo!$E$36)&gt;5000,32-Costeo!$B$61,0))*Costeo!$B$51,2))))&gt;=0),$A128,1000000000)</f>
        <v>1000000000</v>
      </c>
    </row>
    <row r="129" hidden="1" outlineLevel="1" ht="30" customHeight="1" s="61">
      <c r="A129" s="52" t="n">
        <v>78</v>
      </c>
      <c r="B129" s="121">
        <f>IF(AND($A129*Costeo!$B$36&lt;=10000,(($A129)*$D$9-$B$4-((ROUND((MAX(0,($A129*Costeo!$B$117+0*Costeo!$C$117+0*Costeo!$D$117+0*Costeo!$E$117)-100)*Costeo!$B$53+MAX(0,($A129*Costeo!$B$118+0*Costeo!$C$118+0*Costeo!$D$118+0*Costeo!$E$118)-250)*Costeo!$B$52+(MAX(0,ROUNDUP((($A129*Costeo!$B$116+0*Costeo!$C$116)+(0*Costeo!$D$116+0*Costeo!$E$116)*0.05)*2,0)-8)+($A129*Costeo!$B$131+0*Costeo!$C$131+0*Costeo!$D$131+0*Costeo!$E$131))*Costeo!$B$54+IF(($A129*Costeo!$B$36+0*Costeo!$C$36)&lt;=2000,10,IF(($A129*Costeo!$B$36+0*Costeo!$C$36)&lt;=5000,15,IF(($A129*Costeo!$B$36+0*Costeo!$C$36)&lt;=10000,60,110)))-10)*Costeo!$B$51,2))+(ROUND((MAX(0,($A129*Costeo!$B$130+0*Costeo!$C$130+0*Costeo!$D$130+0*Costeo!$E$130)+20*2*2*Costeo!$B$69+30*(1/3600*Costeo!$B$55+5/3600*Costeo!$B$56)-Costeo!$B$58)+IF(AND(($A129*Costeo!$B$120+0*Costeo!$C$120+0*Costeo!$D$120+0*Costeo!$E$120)&lt;=1000000,($A129*Costeo!$B$119+0*Costeo!$C$119+0*Costeo!$D$119+0*Costeo!$E$119)&lt;=1000),0,IF(($A129*Costeo!$B$120+0*Costeo!$C$120+0*Costeo!$D$120+0*Costeo!$E$120)&lt;=10000000,20,IF(($A129*Costeo!$B$120+0*Costeo!$C$120+0*Costeo!$D$120+0*Costeo!$E$120)&lt;=50000000,100,300)))+MAX(0,ROUNDUP(($A129*Costeo!$B$36+0*Costeo!$C$36+0*Costeo!$D$36+0*Costeo!$E$36)/5000,0)-1)*Costeo!$B$62+IF(($A129*Costeo!$B$36+0*Costeo!$C$36+0*Costeo!$D$36+0*Costeo!$E$36)&gt;5000,32-Costeo!$B$61,0))*Costeo!$B$51,2))))&gt;=0),$A129,1000000000)</f>
        <v>78</v>
      </c>
      <c r="C129" s="121">
        <f>IF(AND($A129*Costeo!$C$36&lt;=10000,(($A129)*$D$10-$B$4-((ROUND((MAX(0,(0*Costeo!$B$117+$A129*Costeo!$C$117+0*Costeo!$D$117+0*Costeo!$E$117)-100)*Costeo!$B$53+MAX(0,(0*Costeo!$B$118+$A129*Costeo!$C$118+0*Costeo!$D$118+0*Costeo!$E$118)-250)*Costeo!$B$52+(MAX(0,ROUNDUP(((0*Costeo!$B$116+$A129*Costeo!$C$116)+(0*Costeo!$D$116+0*Costeo!$E$116)*0.05)*2,0)-8)+(0*Costeo!$B$131+$A129*Costeo!$C$131+0*Costeo!$D$131+0*Costeo!$E$131))*Costeo!$B$54+IF((0*Costeo!$B$36+$A129*Costeo!$C$36)&lt;=2000,10,IF((0*Costeo!$B$36+$A129*Costeo!$C$36)&lt;=5000,15,IF((0*Costeo!$B$36+$A129*Costeo!$C$36)&lt;=10000,60,110)))-10)*Costeo!$B$51,2))+(ROUND((MAX(0,(0*Costeo!$B$130+$A129*Costeo!$C$130+0*Costeo!$D$130+0*Costeo!$E$130)+20*2*2*Costeo!$B$69+30*(1/3600*Costeo!$B$55+5/3600*Costeo!$B$56)-Costeo!$B$58)+IF(AND((0*Costeo!$B$120+$A129*Costeo!$C$120+0*Costeo!$D$120+0*Costeo!$E$120)&lt;=1000000,(0*Costeo!$B$119+$A129*Costeo!$C$119+0*Costeo!$D$119+0*Costeo!$E$119)&lt;=1000),0,IF((0*Costeo!$B$120+$A129*Costeo!$C$120+0*Costeo!$D$120+0*Costeo!$E$120)&lt;=10000000,20,IF((0*Costeo!$B$120+$A129*Costeo!$C$120+0*Costeo!$D$120+0*Costeo!$E$120)&lt;=50000000,100,300)))+MAX(0,ROUNDUP((0*Costeo!$B$36+$A129*Costeo!$C$36+0*Costeo!$D$36+0*Costeo!$E$36)/5000,0)-1)*Costeo!$B$62+IF((0*Costeo!$B$36+$A129*Costeo!$C$36+0*Costeo!$D$36+0*Costeo!$E$36)&gt;5000,32-Costeo!$B$61,0))*Costeo!$B$51,2))))&gt;=0),$A129,1000000000)</f>
        <v>1000000000</v>
      </c>
      <c r="D129" s="121">
        <f>IF(AND($A129*Costeo!$D$36&lt;=10000,(($A129)*$D$11-$B$4-((ROUND((MAX(0,(0*Costeo!$B$117+0*Costeo!$C$117+$A129*Costeo!$D$117+0*Costeo!$E$117)-100)*Costeo!$B$53+MAX(0,(0*Costeo!$B$118+0*Costeo!$C$118+$A129*Costeo!$D$118+0*Costeo!$E$118)-250)*Costeo!$B$52+(MAX(0,ROUNDUP(((0*Costeo!$B$116+0*Costeo!$C$116)+($A129*Costeo!$D$116+0*Costeo!$E$116)*0.05)*2,0)-8)+(0*Costeo!$B$131+0*Costeo!$C$131+$A129*Costeo!$D$131+0*Costeo!$E$131))*Costeo!$B$54+IF((0*Costeo!$B$36+0*Costeo!$C$36)&lt;=2000,10,IF((0*Costeo!$B$36+0*Costeo!$C$36)&lt;=5000,15,IF((0*Costeo!$B$36+0*Costeo!$C$36)&lt;=10000,60,110)))-10)*Costeo!$B$51,2))+(ROUND((MAX(0,(0*Costeo!$B$130+0*Costeo!$C$130+$A129*Costeo!$D$130+0*Costeo!$E$130)+20*2*2*Costeo!$B$69+30*(1/3600*Costeo!$B$55+5/3600*Costeo!$B$56)-Costeo!$B$58)+IF(AND((0*Costeo!$B$120+0*Costeo!$C$120+$A129*Costeo!$D$120+0*Costeo!$E$120)&lt;=1000000,(0*Costeo!$B$119+0*Costeo!$C$119+$A129*Costeo!$D$119+0*Costeo!$E$119)&lt;=1000),0,IF((0*Costeo!$B$120+0*Costeo!$C$120+$A129*Costeo!$D$120+0*Costeo!$E$120)&lt;=10000000,20,IF((0*Costeo!$B$120+0*Costeo!$C$120+$A129*Costeo!$D$120+0*Costeo!$E$120)&lt;=50000000,100,300)))+MAX(0,ROUNDUP((0*Costeo!$B$36+0*Costeo!$C$36+$A129*Costeo!$D$36+0*Costeo!$E$36)/5000,0)-1)*Costeo!$B$62+IF((0*Costeo!$B$36+0*Costeo!$C$36+$A129*Costeo!$D$36+0*Costeo!$E$36)&gt;5000,32-Costeo!$B$61,0))*Costeo!$B$51,2))))&gt;=0),$A129,1000000000)</f>
        <v>1000000000</v>
      </c>
      <c r="E129" s="121">
        <f>IF(AND($A129*Costeo!$E$36&lt;=10000,(($A129)*$D$12-$B$4-((ROUND((MAX(0,(0*Costeo!$B$117+0*Costeo!$C$117+0*Costeo!$D$117+$A129*Costeo!$E$117)-100)*Costeo!$B$53+MAX(0,(0*Costeo!$B$118+0*Costeo!$C$118+0*Costeo!$D$118+$A129*Costeo!$E$118)-250)*Costeo!$B$52+(MAX(0,ROUNDUP(((0*Costeo!$B$116+0*Costeo!$C$116)+(0*Costeo!$D$116+$A129*Costeo!$E$116)*0.05)*2,0)-8)+(0*Costeo!$B$131+0*Costeo!$C$131+0*Costeo!$D$131+$A129*Costeo!$E$131))*Costeo!$B$54+IF((0*Costeo!$B$36+0*Costeo!$C$36)&lt;=2000,10,IF((0*Costeo!$B$36+0*Costeo!$C$36)&lt;=5000,15,IF((0*Costeo!$B$36+0*Costeo!$C$36)&lt;=10000,60,110)))-10)*Costeo!$B$51,2))+(ROUND((MAX(0,(0*Costeo!$B$130+0*Costeo!$C$130+0*Costeo!$D$130+$A129*Costeo!$E$130)+20*2*2*Costeo!$B$69+30*(1/3600*Costeo!$B$55+5/3600*Costeo!$B$56)-Costeo!$B$58)+IF(AND((0*Costeo!$B$120+0*Costeo!$C$120+0*Costeo!$D$120+$A129*Costeo!$E$120)&lt;=1000000,(0*Costeo!$B$119+0*Costeo!$C$119+0*Costeo!$D$119+$A129*Costeo!$E$119)&lt;=1000),0,IF((0*Costeo!$B$120+0*Costeo!$C$120+0*Costeo!$D$120+$A129*Costeo!$E$120)&lt;=10000000,20,IF((0*Costeo!$B$120+0*Costeo!$C$120+0*Costeo!$D$120+$A129*Costeo!$E$120)&lt;=50000000,100,300)))+MAX(0,ROUNDUP((0*Costeo!$B$36+0*Costeo!$C$36+0*Costeo!$D$36+$A129*Costeo!$E$36)/5000,0)-1)*Costeo!$B$62+IF((0*Costeo!$B$36+0*Costeo!$C$36+0*Costeo!$D$36+$A129*Costeo!$E$36)&gt;5000,32-Costeo!$B$61,0))*Costeo!$B$51,2))))&gt;=0),$A129,1000000000)</f>
        <v>1000000000</v>
      </c>
    </row>
    <row r="130" hidden="1" outlineLevel="1" ht="30" customHeight="1" s="61">
      <c r="A130" s="52" t="n">
        <v>79</v>
      </c>
      <c r="B130" s="121">
        <f>IF(AND($A130*Costeo!$B$36&lt;=10000,(($A130)*$D$9-$B$4-((ROUND((MAX(0,($A130*Costeo!$B$117+0*Costeo!$C$117+0*Costeo!$D$117+0*Costeo!$E$117)-100)*Costeo!$B$53+MAX(0,($A130*Costeo!$B$118+0*Costeo!$C$118+0*Costeo!$D$118+0*Costeo!$E$118)-250)*Costeo!$B$52+(MAX(0,ROUNDUP((($A130*Costeo!$B$116+0*Costeo!$C$116)+(0*Costeo!$D$116+0*Costeo!$E$116)*0.05)*2,0)-8)+($A130*Costeo!$B$131+0*Costeo!$C$131+0*Costeo!$D$131+0*Costeo!$E$131))*Costeo!$B$54+IF(($A130*Costeo!$B$36+0*Costeo!$C$36)&lt;=2000,10,IF(($A130*Costeo!$B$36+0*Costeo!$C$36)&lt;=5000,15,IF(($A130*Costeo!$B$36+0*Costeo!$C$36)&lt;=10000,60,110)))-10)*Costeo!$B$51,2))+(ROUND((MAX(0,($A130*Costeo!$B$130+0*Costeo!$C$130+0*Costeo!$D$130+0*Costeo!$E$130)+20*2*2*Costeo!$B$69+30*(1/3600*Costeo!$B$55+5/3600*Costeo!$B$56)-Costeo!$B$58)+IF(AND(($A130*Costeo!$B$120+0*Costeo!$C$120+0*Costeo!$D$120+0*Costeo!$E$120)&lt;=1000000,($A130*Costeo!$B$119+0*Costeo!$C$119+0*Costeo!$D$119+0*Costeo!$E$119)&lt;=1000),0,IF(($A130*Costeo!$B$120+0*Costeo!$C$120+0*Costeo!$D$120+0*Costeo!$E$120)&lt;=10000000,20,IF(($A130*Costeo!$B$120+0*Costeo!$C$120+0*Costeo!$D$120+0*Costeo!$E$120)&lt;=50000000,100,300)))+MAX(0,ROUNDUP(($A130*Costeo!$B$36+0*Costeo!$C$36+0*Costeo!$D$36+0*Costeo!$E$36)/5000,0)-1)*Costeo!$B$62+IF(($A130*Costeo!$B$36+0*Costeo!$C$36+0*Costeo!$D$36+0*Costeo!$E$36)&gt;5000,32-Costeo!$B$61,0))*Costeo!$B$51,2))))&gt;=0),$A130,1000000000)</f>
        <v>79</v>
      </c>
      <c r="C130" s="121">
        <f>IF(AND($A130*Costeo!$C$36&lt;=10000,(($A130)*$D$10-$B$4-((ROUND((MAX(0,(0*Costeo!$B$117+$A130*Costeo!$C$117+0*Costeo!$D$117+0*Costeo!$E$117)-100)*Costeo!$B$53+MAX(0,(0*Costeo!$B$118+$A130*Costeo!$C$118+0*Costeo!$D$118+0*Costeo!$E$118)-250)*Costeo!$B$52+(MAX(0,ROUNDUP(((0*Costeo!$B$116+$A130*Costeo!$C$116)+(0*Costeo!$D$116+0*Costeo!$E$116)*0.05)*2,0)-8)+(0*Costeo!$B$131+$A130*Costeo!$C$131+0*Costeo!$D$131+0*Costeo!$E$131))*Costeo!$B$54+IF((0*Costeo!$B$36+$A130*Costeo!$C$36)&lt;=2000,10,IF((0*Costeo!$B$36+$A130*Costeo!$C$36)&lt;=5000,15,IF((0*Costeo!$B$36+$A130*Costeo!$C$36)&lt;=10000,60,110)))-10)*Costeo!$B$51,2))+(ROUND((MAX(0,(0*Costeo!$B$130+$A130*Costeo!$C$130+0*Costeo!$D$130+0*Costeo!$E$130)+20*2*2*Costeo!$B$69+30*(1/3600*Costeo!$B$55+5/3600*Costeo!$B$56)-Costeo!$B$58)+IF(AND((0*Costeo!$B$120+$A130*Costeo!$C$120+0*Costeo!$D$120+0*Costeo!$E$120)&lt;=1000000,(0*Costeo!$B$119+$A130*Costeo!$C$119+0*Costeo!$D$119+0*Costeo!$E$119)&lt;=1000),0,IF((0*Costeo!$B$120+$A130*Costeo!$C$120+0*Costeo!$D$120+0*Costeo!$E$120)&lt;=10000000,20,IF((0*Costeo!$B$120+$A130*Costeo!$C$120+0*Costeo!$D$120+0*Costeo!$E$120)&lt;=50000000,100,300)))+MAX(0,ROUNDUP((0*Costeo!$B$36+$A130*Costeo!$C$36+0*Costeo!$D$36+0*Costeo!$E$36)/5000,0)-1)*Costeo!$B$62+IF((0*Costeo!$B$36+$A130*Costeo!$C$36+0*Costeo!$D$36+0*Costeo!$E$36)&gt;5000,32-Costeo!$B$61,0))*Costeo!$B$51,2))))&gt;=0),$A130,1000000000)</f>
        <v>1000000000</v>
      </c>
      <c r="D130" s="121">
        <f>IF(AND($A130*Costeo!$D$36&lt;=10000,(($A130)*$D$11-$B$4-((ROUND((MAX(0,(0*Costeo!$B$117+0*Costeo!$C$117+$A130*Costeo!$D$117+0*Costeo!$E$117)-100)*Costeo!$B$53+MAX(0,(0*Costeo!$B$118+0*Costeo!$C$118+$A130*Costeo!$D$118+0*Costeo!$E$118)-250)*Costeo!$B$52+(MAX(0,ROUNDUP(((0*Costeo!$B$116+0*Costeo!$C$116)+($A130*Costeo!$D$116+0*Costeo!$E$116)*0.05)*2,0)-8)+(0*Costeo!$B$131+0*Costeo!$C$131+$A130*Costeo!$D$131+0*Costeo!$E$131))*Costeo!$B$54+IF((0*Costeo!$B$36+0*Costeo!$C$36)&lt;=2000,10,IF((0*Costeo!$B$36+0*Costeo!$C$36)&lt;=5000,15,IF((0*Costeo!$B$36+0*Costeo!$C$36)&lt;=10000,60,110)))-10)*Costeo!$B$51,2))+(ROUND((MAX(0,(0*Costeo!$B$130+0*Costeo!$C$130+$A130*Costeo!$D$130+0*Costeo!$E$130)+20*2*2*Costeo!$B$69+30*(1/3600*Costeo!$B$55+5/3600*Costeo!$B$56)-Costeo!$B$58)+IF(AND((0*Costeo!$B$120+0*Costeo!$C$120+$A130*Costeo!$D$120+0*Costeo!$E$120)&lt;=1000000,(0*Costeo!$B$119+0*Costeo!$C$119+$A130*Costeo!$D$119+0*Costeo!$E$119)&lt;=1000),0,IF((0*Costeo!$B$120+0*Costeo!$C$120+$A130*Costeo!$D$120+0*Costeo!$E$120)&lt;=10000000,20,IF((0*Costeo!$B$120+0*Costeo!$C$120+$A130*Costeo!$D$120+0*Costeo!$E$120)&lt;=50000000,100,300)))+MAX(0,ROUNDUP((0*Costeo!$B$36+0*Costeo!$C$36+$A130*Costeo!$D$36+0*Costeo!$E$36)/5000,0)-1)*Costeo!$B$62+IF((0*Costeo!$B$36+0*Costeo!$C$36+$A130*Costeo!$D$36+0*Costeo!$E$36)&gt;5000,32-Costeo!$B$61,0))*Costeo!$B$51,2))))&gt;=0),$A130,1000000000)</f>
        <v>1000000000</v>
      </c>
      <c r="E130" s="121">
        <f>IF(AND($A130*Costeo!$E$36&lt;=10000,(($A130)*$D$12-$B$4-((ROUND((MAX(0,(0*Costeo!$B$117+0*Costeo!$C$117+0*Costeo!$D$117+$A130*Costeo!$E$117)-100)*Costeo!$B$53+MAX(0,(0*Costeo!$B$118+0*Costeo!$C$118+0*Costeo!$D$118+$A130*Costeo!$E$118)-250)*Costeo!$B$52+(MAX(0,ROUNDUP(((0*Costeo!$B$116+0*Costeo!$C$116)+(0*Costeo!$D$116+$A130*Costeo!$E$116)*0.05)*2,0)-8)+(0*Costeo!$B$131+0*Costeo!$C$131+0*Costeo!$D$131+$A130*Costeo!$E$131))*Costeo!$B$54+IF((0*Costeo!$B$36+0*Costeo!$C$36)&lt;=2000,10,IF((0*Costeo!$B$36+0*Costeo!$C$36)&lt;=5000,15,IF((0*Costeo!$B$36+0*Costeo!$C$36)&lt;=10000,60,110)))-10)*Costeo!$B$51,2))+(ROUND((MAX(0,(0*Costeo!$B$130+0*Costeo!$C$130+0*Costeo!$D$130+$A130*Costeo!$E$130)+20*2*2*Costeo!$B$69+30*(1/3600*Costeo!$B$55+5/3600*Costeo!$B$56)-Costeo!$B$58)+IF(AND((0*Costeo!$B$120+0*Costeo!$C$120+0*Costeo!$D$120+$A130*Costeo!$E$120)&lt;=1000000,(0*Costeo!$B$119+0*Costeo!$C$119+0*Costeo!$D$119+$A130*Costeo!$E$119)&lt;=1000),0,IF((0*Costeo!$B$120+0*Costeo!$C$120+0*Costeo!$D$120+$A130*Costeo!$E$120)&lt;=10000000,20,IF((0*Costeo!$B$120+0*Costeo!$C$120+0*Costeo!$D$120+$A130*Costeo!$E$120)&lt;=50000000,100,300)))+MAX(0,ROUNDUP((0*Costeo!$B$36+0*Costeo!$C$36+0*Costeo!$D$36+$A130*Costeo!$E$36)/5000,0)-1)*Costeo!$B$62+IF((0*Costeo!$B$36+0*Costeo!$C$36+0*Costeo!$D$36+$A130*Costeo!$E$36)&gt;5000,32-Costeo!$B$61,0))*Costeo!$B$51,2))))&gt;=0),$A130,1000000000)</f>
        <v>1000000000</v>
      </c>
    </row>
    <row r="131" hidden="1" outlineLevel="1" ht="30" customHeight="1" s="61">
      <c r="A131" s="52" t="n">
        <v>80</v>
      </c>
      <c r="B131" s="121">
        <f>IF(AND($A131*Costeo!$B$36&lt;=10000,(($A131)*$D$9-$B$4-((ROUND((MAX(0,($A131*Costeo!$B$117+0*Costeo!$C$117+0*Costeo!$D$117+0*Costeo!$E$117)-100)*Costeo!$B$53+MAX(0,($A131*Costeo!$B$118+0*Costeo!$C$118+0*Costeo!$D$118+0*Costeo!$E$118)-250)*Costeo!$B$52+(MAX(0,ROUNDUP((($A131*Costeo!$B$116+0*Costeo!$C$116)+(0*Costeo!$D$116+0*Costeo!$E$116)*0.05)*2,0)-8)+($A131*Costeo!$B$131+0*Costeo!$C$131+0*Costeo!$D$131+0*Costeo!$E$131))*Costeo!$B$54+IF(($A131*Costeo!$B$36+0*Costeo!$C$36)&lt;=2000,10,IF(($A131*Costeo!$B$36+0*Costeo!$C$36)&lt;=5000,15,IF(($A131*Costeo!$B$36+0*Costeo!$C$36)&lt;=10000,60,110)))-10)*Costeo!$B$51,2))+(ROUND((MAX(0,($A131*Costeo!$B$130+0*Costeo!$C$130+0*Costeo!$D$130+0*Costeo!$E$130)+20*2*2*Costeo!$B$69+30*(1/3600*Costeo!$B$55+5/3600*Costeo!$B$56)-Costeo!$B$58)+IF(AND(($A131*Costeo!$B$120+0*Costeo!$C$120+0*Costeo!$D$120+0*Costeo!$E$120)&lt;=1000000,($A131*Costeo!$B$119+0*Costeo!$C$119+0*Costeo!$D$119+0*Costeo!$E$119)&lt;=1000),0,IF(($A131*Costeo!$B$120+0*Costeo!$C$120+0*Costeo!$D$120+0*Costeo!$E$120)&lt;=10000000,20,IF(($A131*Costeo!$B$120+0*Costeo!$C$120+0*Costeo!$D$120+0*Costeo!$E$120)&lt;=50000000,100,300)))+MAX(0,ROUNDUP(($A131*Costeo!$B$36+0*Costeo!$C$36+0*Costeo!$D$36+0*Costeo!$E$36)/5000,0)-1)*Costeo!$B$62+IF(($A131*Costeo!$B$36+0*Costeo!$C$36+0*Costeo!$D$36+0*Costeo!$E$36)&gt;5000,32-Costeo!$B$61,0))*Costeo!$B$51,2))))&gt;=0),$A131,1000000000)</f>
        <v>80</v>
      </c>
      <c r="C131" s="121">
        <f>IF(AND($A131*Costeo!$C$36&lt;=10000,(($A131)*$D$10-$B$4-((ROUND((MAX(0,(0*Costeo!$B$117+$A131*Costeo!$C$117+0*Costeo!$D$117+0*Costeo!$E$117)-100)*Costeo!$B$53+MAX(0,(0*Costeo!$B$118+$A131*Costeo!$C$118+0*Costeo!$D$118+0*Costeo!$E$118)-250)*Costeo!$B$52+(MAX(0,ROUNDUP(((0*Costeo!$B$116+$A131*Costeo!$C$116)+(0*Costeo!$D$116+0*Costeo!$E$116)*0.05)*2,0)-8)+(0*Costeo!$B$131+$A131*Costeo!$C$131+0*Costeo!$D$131+0*Costeo!$E$131))*Costeo!$B$54+IF((0*Costeo!$B$36+$A131*Costeo!$C$36)&lt;=2000,10,IF((0*Costeo!$B$36+$A131*Costeo!$C$36)&lt;=5000,15,IF((0*Costeo!$B$36+$A131*Costeo!$C$36)&lt;=10000,60,110)))-10)*Costeo!$B$51,2))+(ROUND((MAX(0,(0*Costeo!$B$130+$A131*Costeo!$C$130+0*Costeo!$D$130+0*Costeo!$E$130)+20*2*2*Costeo!$B$69+30*(1/3600*Costeo!$B$55+5/3600*Costeo!$B$56)-Costeo!$B$58)+IF(AND((0*Costeo!$B$120+$A131*Costeo!$C$120+0*Costeo!$D$120+0*Costeo!$E$120)&lt;=1000000,(0*Costeo!$B$119+$A131*Costeo!$C$119+0*Costeo!$D$119+0*Costeo!$E$119)&lt;=1000),0,IF((0*Costeo!$B$120+$A131*Costeo!$C$120+0*Costeo!$D$120+0*Costeo!$E$120)&lt;=10000000,20,IF((0*Costeo!$B$120+$A131*Costeo!$C$120+0*Costeo!$D$120+0*Costeo!$E$120)&lt;=50000000,100,300)))+MAX(0,ROUNDUP((0*Costeo!$B$36+$A131*Costeo!$C$36+0*Costeo!$D$36+0*Costeo!$E$36)/5000,0)-1)*Costeo!$B$62+IF((0*Costeo!$B$36+$A131*Costeo!$C$36+0*Costeo!$D$36+0*Costeo!$E$36)&gt;5000,32-Costeo!$B$61,0))*Costeo!$B$51,2))))&gt;=0),$A131,1000000000)</f>
        <v>1000000000</v>
      </c>
      <c r="D131" s="121">
        <f>IF(AND($A131*Costeo!$D$36&lt;=10000,(($A131)*$D$11-$B$4-((ROUND((MAX(0,(0*Costeo!$B$117+0*Costeo!$C$117+$A131*Costeo!$D$117+0*Costeo!$E$117)-100)*Costeo!$B$53+MAX(0,(0*Costeo!$B$118+0*Costeo!$C$118+$A131*Costeo!$D$118+0*Costeo!$E$118)-250)*Costeo!$B$52+(MAX(0,ROUNDUP(((0*Costeo!$B$116+0*Costeo!$C$116)+($A131*Costeo!$D$116+0*Costeo!$E$116)*0.05)*2,0)-8)+(0*Costeo!$B$131+0*Costeo!$C$131+$A131*Costeo!$D$131+0*Costeo!$E$131))*Costeo!$B$54+IF((0*Costeo!$B$36+0*Costeo!$C$36)&lt;=2000,10,IF((0*Costeo!$B$36+0*Costeo!$C$36)&lt;=5000,15,IF((0*Costeo!$B$36+0*Costeo!$C$36)&lt;=10000,60,110)))-10)*Costeo!$B$51,2))+(ROUND((MAX(0,(0*Costeo!$B$130+0*Costeo!$C$130+$A131*Costeo!$D$130+0*Costeo!$E$130)+20*2*2*Costeo!$B$69+30*(1/3600*Costeo!$B$55+5/3600*Costeo!$B$56)-Costeo!$B$58)+IF(AND((0*Costeo!$B$120+0*Costeo!$C$120+$A131*Costeo!$D$120+0*Costeo!$E$120)&lt;=1000000,(0*Costeo!$B$119+0*Costeo!$C$119+$A131*Costeo!$D$119+0*Costeo!$E$119)&lt;=1000),0,IF((0*Costeo!$B$120+0*Costeo!$C$120+$A131*Costeo!$D$120+0*Costeo!$E$120)&lt;=10000000,20,IF((0*Costeo!$B$120+0*Costeo!$C$120+$A131*Costeo!$D$120+0*Costeo!$E$120)&lt;=50000000,100,300)))+MAX(0,ROUNDUP((0*Costeo!$B$36+0*Costeo!$C$36+$A131*Costeo!$D$36+0*Costeo!$E$36)/5000,0)-1)*Costeo!$B$62+IF((0*Costeo!$B$36+0*Costeo!$C$36+$A131*Costeo!$D$36+0*Costeo!$E$36)&gt;5000,32-Costeo!$B$61,0))*Costeo!$B$51,2))))&gt;=0),$A131,1000000000)</f>
        <v>1000000000</v>
      </c>
      <c r="E131" s="121">
        <f>IF(AND($A131*Costeo!$E$36&lt;=10000,(($A131)*$D$12-$B$4-((ROUND((MAX(0,(0*Costeo!$B$117+0*Costeo!$C$117+0*Costeo!$D$117+$A131*Costeo!$E$117)-100)*Costeo!$B$53+MAX(0,(0*Costeo!$B$118+0*Costeo!$C$118+0*Costeo!$D$118+$A131*Costeo!$E$118)-250)*Costeo!$B$52+(MAX(0,ROUNDUP(((0*Costeo!$B$116+0*Costeo!$C$116)+(0*Costeo!$D$116+$A131*Costeo!$E$116)*0.05)*2,0)-8)+(0*Costeo!$B$131+0*Costeo!$C$131+0*Costeo!$D$131+$A131*Costeo!$E$131))*Costeo!$B$54+IF((0*Costeo!$B$36+0*Costeo!$C$36)&lt;=2000,10,IF((0*Costeo!$B$36+0*Costeo!$C$36)&lt;=5000,15,IF((0*Costeo!$B$36+0*Costeo!$C$36)&lt;=10000,60,110)))-10)*Costeo!$B$51,2))+(ROUND((MAX(0,(0*Costeo!$B$130+0*Costeo!$C$130+0*Costeo!$D$130+$A131*Costeo!$E$130)+20*2*2*Costeo!$B$69+30*(1/3600*Costeo!$B$55+5/3600*Costeo!$B$56)-Costeo!$B$58)+IF(AND((0*Costeo!$B$120+0*Costeo!$C$120+0*Costeo!$D$120+$A131*Costeo!$E$120)&lt;=1000000,(0*Costeo!$B$119+0*Costeo!$C$119+0*Costeo!$D$119+$A131*Costeo!$E$119)&lt;=1000),0,IF((0*Costeo!$B$120+0*Costeo!$C$120+0*Costeo!$D$120+$A131*Costeo!$E$120)&lt;=10000000,20,IF((0*Costeo!$B$120+0*Costeo!$C$120+0*Costeo!$D$120+$A131*Costeo!$E$120)&lt;=50000000,100,300)))+MAX(0,ROUNDUP((0*Costeo!$B$36+0*Costeo!$C$36+0*Costeo!$D$36+$A131*Costeo!$E$36)/5000,0)-1)*Costeo!$B$62+IF((0*Costeo!$B$36+0*Costeo!$C$36+0*Costeo!$D$36+$A131*Costeo!$E$36)&gt;5000,32-Costeo!$B$61,0))*Costeo!$B$51,2))))&gt;=0),$A131,1000000000)</f>
        <v>1000000000</v>
      </c>
    </row>
    <row r="132" hidden="1" outlineLevel="1" ht="30" customHeight="1" s="61">
      <c r="A132" s="52" t="n">
        <v>81</v>
      </c>
      <c r="B132" s="121">
        <f>IF(AND($A132*Costeo!$B$36&lt;=10000,(($A132)*$D$9-$B$4-((ROUND((MAX(0,($A132*Costeo!$B$117+0*Costeo!$C$117+0*Costeo!$D$117+0*Costeo!$E$117)-100)*Costeo!$B$53+MAX(0,($A132*Costeo!$B$118+0*Costeo!$C$118+0*Costeo!$D$118+0*Costeo!$E$118)-250)*Costeo!$B$52+(MAX(0,ROUNDUP((($A132*Costeo!$B$116+0*Costeo!$C$116)+(0*Costeo!$D$116+0*Costeo!$E$116)*0.05)*2,0)-8)+($A132*Costeo!$B$131+0*Costeo!$C$131+0*Costeo!$D$131+0*Costeo!$E$131))*Costeo!$B$54+IF(($A132*Costeo!$B$36+0*Costeo!$C$36)&lt;=2000,10,IF(($A132*Costeo!$B$36+0*Costeo!$C$36)&lt;=5000,15,IF(($A132*Costeo!$B$36+0*Costeo!$C$36)&lt;=10000,60,110)))-10)*Costeo!$B$51,2))+(ROUND((MAX(0,($A132*Costeo!$B$130+0*Costeo!$C$130+0*Costeo!$D$130+0*Costeo!$E$130)+20*2*2*Costeo!$B$69+30*(1/3600*Costeo!$B$55+5/3600*Costeo!$B$56)-Costeo!$B$58)+IF(AND(($A132*Costeo!$B$120+0*Costeo!$C$120+0*Costeo!$D$120+0*Costeo!$E$120)&lt;=1000000,($A132*Costeo!$B$119+0*Costeo!$C$119+0*Costeo!$D$119+0*Costeo!$E$119)&lt;=1000),0,IF(($A132*Costeo!$B$120+0*Costeo!$C$120+0*Costeo!$D$120+0*Costeo!$E$120)&lt;=10000000,20,IF(($A132*Costeo!$B$120+0*Costeo!$C$120+0*Costeo!$D$120+0*Costeo!$E$120)&lt;=50000000,100,300)))+MAX(0,ROUNDUP(($A132*Costeo!$B$36+0*Costeo!$C$36+0*Costeo!$D$36+0*Costeo!$E$36)/5000,0)-1)*Costeo!$B$62+IF(($A132*Costeo!$B$36+0*Costeo!$C$36+0*Costeo!$D$36+0*Costeo!$E$36)&gt;5000,32-Costeo!$B$61,0))*Costeo!$B$51,2))))&gt;=0),$A132,1000000000)</f>
        <v>81</v>
      </c>
      <c r="C132" s="121">
        <f>IF(AND($A132*Costeo!$C$36&lt;=10000,(($A132)*$D$10-$B$4-((ROUND((MAX(0,(0*Costeo!$B$117+$A132*Costeo!$C$117+0*Costeo!$D$117+0*Costeo!$E$117)-100)*Costeo!$B$53+MAX(0,(0*Costeo!$B$118+$A132*Costeo!$C$118+0*Costeo!$D$118+0*Costeo!$E$118)-250)*Costeo!$B$52+(MAX(0,ROUNDUP(((0*Costeo!$B$116+$A132*Costeo!$C$116)+(0*Costeo!$D$116+0*Costeo!$E$116)*0.05)*2,0)-8)+(0*Costeo!$B$131+$A132*Costeo!$C$131+0*Costeo!$D$131+0*Costeo!$E$131))*Costeo!$B$54+IF((0*Costeo!$B$36+$A132*Costeo!$C$36)&lt;=2000,10,IF((0*Costeo!$B$36+$A132*Costeo!$C$36)&lt;=5000,15,IF((0*Costeo!$B$36+$A132*Costeo!$C$36)&lt;=10000,60,110)))-10)*Costeo!$B$51,2))+(ROUND((MAX(0,(0*Costeo!$B$130+$A132*Costeo!$C$130+0*Costeo!$D$130+0*Costeo!$E$130)+20*2*2*Costeo!$B$69+30*(1/3600*Costeo!$B$55+5/3600*Costeo!$B$56)-Costeo!$B$58)+IF(AND((0*Costeo!$B$120+$A132*Costeo!$C$120+0*Costeo!$D$120+0*Costeo!$E$120)&lt;=1000000,(0*Costeo!$B$119+$A132*Costeo!$C$119+0*Costeo!$D$119+0*Costeo!$E$119)&lt;=1000),0,IF((0*Costeo!$B$120+$A132*Costeo!$C$120+0*Costeo!$D$120+0*Costeo!$E$120)&lt;=10000000,20,IF((0*Costeo!$B$120+$A132*Costeo!$C$120+0*Costeo!$D$120+0*Costeo!$E$120)&lt;=50000000,100,300)))+MAX(0,ROUNDUP((0*Costeo!$B$36+$A132*Costeo!$C$36+0*Costeo!$D$36+0*Costeo!$E$36)/5000,0)-1)*Costeo!$B$62+IF((0*Costeo!$B$36+$A132*Costeo!$C$36+0*Costeo!$D$36+0*Costeo!$E$36)&gt;5000,32-Costeo!$B$61,0))*Costeo!$B$51,2))))&gt;=0),$A132,1000000000)</f>
        <v>1000000000</v>
      </c>
      <c r="D132" s="121">
        <f>IF(AND($A132*Costeo!$D$36&lt;=10000,(($A132)*$D$11-$B$4-((ROUND((MAX(0,(0*Costeo!$B$117+0*Costeo!$C$117+$A132*Costeo!$D$117+0*Costeo!$E$117)-100)*Costeo!$B$53+MAX(0,(0*Costeo!$B$118+0*Costeo!$C$118+$A132*Costeo!$D$118+0*Costeo!$E$118)-250)*Costeo!$B$52+(MAX(0,ROUNDUP(((0*Costeo!$B$116+0*Costeo!$C$116)+($A132*Costeo!$D$116+0*Costeo!$E$116)*0.05)*2,0)-8)+(0*Costeo!$B$131+0*Costeo!$C$131+$A132*Costeo!$D$131+0*Costeo!$E$131))*Costeo!$B$54+IF((0*Costeo!$B$36+0*Costeo!$C$36)&lt;=2000,10,IF((0*Costeo!$B$36+0*Costeo!$C$36)&lt;=5000,15,IF((0*Costeo!$B$36+0*Costeo!$C$36)&lt;=10000,60,110)))-10)*Costeo!$B$51,2))+(ROUND((MAX(0,(0*Costeo!$B$130+0*Costeo!$C$130+$A132*Costeo!$D$130+0*Costeo!$E$130)+20*2*2*Costeo!$B$69+30*(1/3600*Costeo!$B$55+5/3600*Costeo!$B$56)-Costeo!$B$58)+IF(AND((0*Costeo!$B$120+0*Costeo!$C$120+$A132*Costeo!$D$120+0*Costeo!$E$120)&lt;=1000000,(0*Costeo!$B$119+0*Costeo!$C$119+$A132*Costeo!$D$119+0*Costeo!$E$119)&lt;=1000),0,IF((0*Costeo!$B$120+0*Costeo!$C$120+$A132*Costeo!$D$120+0*Costeo!$E$120)&lt;=10000000,20,IF((0*Costeo!$B$120+0*Costeo!$C$120+$A132*Costeo!$D$120+0*Costeo!$E$120)&lt;=50000000,100,300)))+MAX(0,ROUNDUP((0*Costeo!$B$36+0*Costeo!$C$36+$A132*Costeo!$D$36+0*Costeo!$E$36)/5000,0)-1)*Costeo!$B$62+IF((0*Costeo!$B$36+0*Costeo!$C$36+$A132*Costeo!$D$36+0*Costeo!$E$36)&gt;5000,32-Costeo!$B$61,0))*Costeo!$B$51,2))))&gt;=0),$A132,1000000000)</f>
        <v>1000000000</v>
      </c>
      <c r="E132" s="121">
        <f>IF(AND($A132*Costeo!$E$36&lt;=10000,(($A132)*$D$12-$B$4-((ROUND((MAX(0,(0*Costeo!$B$117+0*Costeo!$C$117+0*Costeo!$D$117+$A132*Costeo!$E$117)-100)*Costeo!$B$53+MAX(0,(0*Costeo!$B$118+0*Costeo!$C$118+0*Costeo!$D$118+$A132*Costeo!$E$118)-250)*Costeo!$B$52+(MAX(0,ROUNDUP(((0*Costeo!$B$116+0*Costeo!$C$116)+(0*Costeo!$D$116+$A132*Costeo!$E$116)*0.05)*2,0)-8)+(0*Costeo!$B$131+0*Costeo!$C$131+0*Costeo!$D$131+$A132*Costeo!$E$131))*Costeo!$B$54+IF((0*Costeo!$B$36+0*Costeo!$C$36)&lt;=2000,10,IF((0*Costeo!$B$36+0*Costeo!$C$36)&lt;=5000,15,IF((0*Costeo!$B$36+0*Costeo!$C$36)&lt;=10000,60,110)))-10)*Costeo!$B$51,2))+(ROUND((MAX(0,(0*Costeo!$B$130+0*Costeo!$C$130+0*Costeo!$D$130+$A132*Costeo!$E$130)+20*2*2*Costeo!$B$69+30*(1/3600*Costeo!$B$55+5/3600*Costeo!$B$56)-Costeo!$B$58)+IF(AND((0*Costeo!$B$120+0*Costeo!$C$120+0*Costeo!$D$120+$A132*Costeo!$E$120)&lt;=1000000,(0*Costeo!$B$119+0*Costeo!$C$119+0*Costeo!$D$119+$A132*Costeo!$E$119)&lt;=1000),0,IF((0*Costeo!$B$120+0*Costeo!$C$120+0*Costeo!$D$120+$A132*Costeo!$E$120)&lt;=10000000,20,IF((0*Costeo!$B$120+0*Costeo!$C$120+0*Costeo!$D$120+$A132*Costeo!$E$120)&lt;=50000000,100,300)))+MAX(0,ROUNDUP((0*Costeo!$B$36+0*Costeo!$C$36+0*Costeo!$D$36+$A132*Costeo!$E$36)/5000,0)-1)*Costeo!$B$62+IF((0*Costeo!$B$36+0*Costeo!$C$36+0*Costeo!$D$36+$A132*Costeo!$E$36)&gt;5000,32-Costeo!$B$61,0))*Costeo!$B$51,2))))&gt;=0),$A132,1000000000)</f>
        <v>1000000000</v>
      </c>
    </row>
    <row r="133" hidden="1" outlineLevel="1" ht="30" customHeight="1" s="61">
      <c r="A133" s="52" t="n">
        <v>82</v>
      </c>
      <c r="B133" s="121">
        <f>IF(AND($A133*Costeo!$B$36&lt;=10000,(($A133)*$D$9-$B$4-((ROUND((MAX(0,($A133*Costeo!$B$117+0*Costeo!$C$117+0*Costeo!$D$117+0*Costeo!$E$117)-100)*Costeo!$B$53+MAX(0,($A133*Costeo!$B$118+0*Costeo!$C$118+0*Costeo!$D$118+0*Costeo!$E$118)-250)*Costeo!$B$52+(MAX(0,ROUNDUP((($A133*Costeo!$B$116+0*Costeo!$C$116)+(0*Costeo!$D$116+0*Costeo!$E$116)*0.05)*2,0)-8)+($A133*Costeo!$B$131+0*Costeo!$C$131+0*Costeo!$D$131+0*Costeo!$E$131))*Costeo!$B$54+IF(($A133*Costeo!$B$36+0*Costeo!$C$36)&lt;=2000,10,IF(($A133*Costeo!$B$36+0*Costeo!$C$36)&lt;=5000,15,IF(($A133*Costeo!$B$36+0*Costeo!$C$36)&lt;=10000,60,110)))-10)*Costeo!$B$51,2))+(ROUND((MAX(0,($A133*Costeo!$B$130+0*Costeo!$C$130+0*Costeo!$D$130+0*Costeo!$E$130)+20*2*2*Costeo!$B$69+30*(1/3600*Costeo!$B$55+5/3600*Costeo!$B$56)-Costeo!$B$58)+IF(AND(($A133*Costeo!$B$120+0*Costeo!$C$120+0*Costeo!$D$120+0*Costeo!$E$120)&lt;=1000000,($A133*Costeo!$B$119+0*Costeo!$C$119+0*Costeo!$D$119+0*Costeo!$E$119)&lt;=1000),0,IF(($A133*Costeo!$B$120+0*Costeo!$C$120+0*Costeo!$D$120+0*Costeo!$E$120)&lt;=10000000,20,IF(($A133*Costeo!$B$120+0*Costeo!$C$120+0*Costeo!$D$120+0*Costeo!$E$120)&lt;=50000000,100,300)))+MAX(0,ROUNDUP(($A133*Costeo!$B$36+0*Costeo!$C$36+0*Costeo!$D$36+0*Costeo!$E$36)/5000,0)-1)*Costeo!$B$62+IF(($A133*Costeo!$B$36+0*Costeo!$C$36+0*Costeo!$D$36+0*Costeo!$E$36)&gt;5000,32-Costeo!$B$61,0))*Costeo!$B$51,2))))&gt;=0),$A133,1000000000)</f>
        <v>82</v>
      </c>
      <c r="C133" s="121">
        <f>IF(AND($A133*Costeo!$C$36&lt;=10000,(($A133)*$D$10-$B$4-((ROUND((MAX(0,(0*Costeo!$B$117+$A133*Costeo!$C$117+0*Costeo!$D$117+0*Costeo!$E$117)-100)*Costeo!$B$53+MAX(0,(0*Costeo!$B$118+$A133*Costeo!$C$118+0*Costeo!$D$118+0*Costeo!$E$118)-250)*Costeo!$B$52+(MAX(0,ROUNDUP(((0*Costeo!$B$116+$A133*Costeo!$C$116)+(0*Costeo!$D$116+0*Costeo!$E$116)*0.05)*2,0)-8)+(0*Costeo!$B$131+$A133*Costeo!$C$131+0*Costeo!$D$131+0*Costeo!$E$131))*Costeo!$B$54+IF((0*Costeo!$B$36+$A133*Costeo!$C$36)&lt;=2000,10,IF((0*Costeo!$B$36+$A133*Costeo!$C$36)&lt;=5000,15,IF((0*Costeo!$B$36+$A133*Costeo!$C$36)&lt;=10000,60,110)))-10)*Costeo!$B$51,2))+(ROUND((MAX(0,(0*Costeo!$B$130+$A133*Costeo!$C$130+0*Costeo!$D$130+0*Costeo!$E$130)+20*2*2*Costeo!$B$69+30*(1/3600*Costeo!$B$55+5/3600*Costeo!$B$56)-Costeo!$B$58)+IF(AND((0*Costeo!$B$120+$A133*Costeo!$C$120+0*Costeo!$D$120+0*Costeo!$E$120)&lt;=1000000,(0*Costeo!$B$119+$A133*Costeo!$C$119+0*Costeo!$D$119+0*Costeo!$E$119)&lt;=1000),0,IF((0*Costeo!$B$120+$A133*Costeo!$C$120+0*Costeo!$D$120+0*Costeo!$E$120)&lt;=10000000,20,IF((0*Costeo!$B$120+$A133*Costeo!$C$120+0*Costeo!$D$120+0*Costeo!$E$120)&lt;=50000000,100,300)))+MAX(0,ROUNDUP((0*Costeo!$B$36+$A133*Costeo!$C$36+0*Costeo!$D$36+0*Costeo!$E$36)/5000,0)-1)*Costeo!$B$62+IF((0*Costeo!$B$36+$A133*Costeo!$C$36+0*Costeo!$D$36+0*Costeo!$E$36)&gt;5000,32-Costeo!$B$61,0))*Costeo!$B$51,2))))&gt;=0),$A133,1000000000)</f>
        <v>1000000000</v>
      </c>
      <c r="D133" s="121">
        <f>IF(AND($A133*Costeo!$D$36&lt;=10000,(($A133)*$D$11-$B$4-((ROUND((MAX(0,(0*Costeo!$B$117+0*Costeo!$C$117+$A133*Costeo!$D$117+0*Costeo!$E$117)-100)*Costeo!$B$53+MAX(0,(0*Costeo!$B$118+0*Costeo!$C$118+$A133*Costeo!$D$118+0*Costeo!$E$118)-250)*Costeo!$B$52+(MAX(0,ROUNDUP(((0*Costeo!$B$116+0*Costeo!$C$116)+($A133*Costeo!$D$116+0*Costeo!$E$116)*0.05)*2,0)-8)+(0*Costeo!$B$131+0*Costeo!$C$131+$A133*Costeo!$D$131+0*Costeo!$E$131))*Costeo!$B$54+IF((0*Costeo!$B$36+0*Costeo!$C$36)&lt;=2000,10,IF((0*Costeo!$B$36+0*Costeo!$C$36)&lt;=5000,15,IF((0*Costeo!$B$36+0*Costeo!$C$36)&lt;=10000,60,110)))-10)*Costeo!$B$51,2))+(ROUND((MAX(0,(0*Costeo!$B$130+0*Costeo!$C$130+$A133*Costeo!$D$130+0*Costeo!$E$130)+20*2*2*Costeo!$B$69+30*(1/3600*Costeo!$B$55+5/3600*Costeo!$B$56)-Costeo!$B$58)+IF(AND((0*Costeo!$B$120+0*Costeo!$C$120+$A133*Costeo!$D$120+0*Costeo!$E$120)&lt;=1000000,(0*Costeo!$B$119+0*Costeo!$C$119+$A133*Costeo!$D$119+0*Costeo!$E$119)&lt;=1000),0,IF((0*Costeo!$B$120+0*Costeo!$C$120+$A133*Costeo!$D$120+0*Costeo!$E$120)&lt;=10000000,20,IF((0*Costeo!$B$120+0*Costeo!$C$120+$A133*Costeo!$D$120+0*Costeo!$E$120)&lt;=50000000,100,300)))+MAX(0,ROUNDUP((0*Costeo!$B$36+0*Costeo!$C$36+$A133*Costeo!$D$36+0*Costeo!$E$36)/5000,0)-1)*Costeo!$B$62+IF((0*Costeo!$B$36+0*Costeo!$C$36+$A133*Costeo!$D$36+0*Costeo!$E$36)&gt;5000,32-Costeo!$B$61,0))*Costeo!$B$51,2))))&gt;=0),$A133,1000000000)</f>
        <v>1000000000</v>
      </c>
      <c r="E133" s="121">
        <f>IF(AND($A133*Costeo!$E$36&lt;=10000,(($A133)*$D$12-$B$4-((ROUND((MAX(0,(0*Costeo!$B$117+0*Costeo!$C$117+0*Costeo!$D$117+$A133*Costeo!$E$117)-100)*Costeo!$B$53+MAX(0,(0*Costeo!$B$118+0*Costeo!$C$118+0*Costeo!$D$118+$A133*Costeo!$E$118)-250)*Costeo!$B$52+(MAX(0,ROUNDUP(((0*Costeo!$B$116+0*Costeo!$C$116)+(0*Costeo!$D$116+$A133*Costeo!$E$116)*0.05)*2,0)-8)+(0*Costeo!$B$131+0*Costeo!$C$131+0*Costeo!$D$131+$A133*Costeo!$E$131))*Costeo!$B$54+IF((0*Costeo!$B$36+0*Costeo!$C$36)&lt;=2000,10,IF((0*Costeo!$B$36+0*Costeo!$C$36)&lt;=5000,15,IF((0*Costeo!$B$36+0*Costeo!$C$36)&lt;=10000,60,110)))-10)*Costeo!$B$51,2))+(ROUND((MAX(0,(0*Costeo!$B$130+0*Costeo!$C$130+0*Costeo!$D$130+$A133*Costeo!$E$130)+20*2*2*Costeo!$B$69+30*(1/3600*Costeo!$B$55+5/3600*Costeo!$B$56)-Costeo!$B$58)+IF(AND((0*Costeo!$B$120+0*Costeo!$C$120+0*Costeo!$D$120+$A133*Costeo!$E$120)&lt;=1000000,(0*Costeo!$B$119+0*Costeo!$C$119+0*Costeo!$D$119+$A133*Costeo!$E$119)&lt;=1000),0,IF((0*Costeo!$B$120+0*Costeo!$C$120+0*Costeo!$D$120+$A133*Costeo!$E$120)&lt;=10000000,20,IF((0*Costeo!$B$120+0*Costeo!$C$120+0*Costeo!$D$120+$A133*Costeo!$E$120)&lt;=50000000,100,300)))+MAX(0,ROUNDUP((0*Costeo!$B$36+0*Costeo!$C$36+0*Costeo!$D$36+$A133*Costeo!$E$36)/5000,0)-1)*Costeo!$B$62+IF((0*Costeo!$B$36+0*Costeo!$C$36+0*Costeo!$D$36+$A133*Costeo!$E$36)&gt;5000,32-Costeo!$B$61,0))*Costeo!$B$51,2))))&gt;=0),$A133,1000000000)</f>
        <v>1000000000</v>
      </c>
    </row>
    <row r="134" hidden="1" outlineLevel="1" ht="30" customHeight="1" s="61">
      <c r="A134" s="52" t="n">
        <v>83</v>
      </c>
      <c r="B134" s="121">
        <f>IF(AND($A134*Costeo!$B$36&lt;=10000,(($A134)*$D$9-$B$4-((ROUND((MAX(0,($A134*Costeo!$B$117+0*Costeo!$C$117+0*Costeo!$D$117+0*Costeo!$E$117)-100)*Costeo!$B$53+MAX(0,($A134*Costeo!$B$118+0*Costeo!$C$118+0*Costeo!$D$118+0*Costeo!$E$118)-250)*Costeo!$B$52+(MAX(0,ROUNDUP((($A134*Costeo!$B$116+0*Costeo!$C$116)+(0*Costeo!$D$116+0*Costeo!$E$116)*0.05)*2,0)-8)+($A134*Costeo!$B$131+0*Costeo!$C$131+0*Costeo!$D$131+0*Costeo!$E$131))*Costeo!$B$54+IF(($A134*Costeo!$B$36+0*Costeo!$C$36)&lt;=2000,10,IF(($A134*Costeo!$B$36+0*Costeo!$C$36)&lt;=5000,15,IF(($A134*Costeo!$B$36+0*Costeo!$C$36)&lt;=10000,60,110)))-10)*Costeo!$B$51,2))+(ROUND((MAX(0,($A134*Costeo!$B$130+0*Costeo!$C$130+0*Costeo!$D$130+0*Costeo!$E$130)+20*2*2*Costeo!$B$69+30*(1/3600*Costeo!$B$55+5/3600*Costeo!$B$56)-Costeo!$B$58)+IF(AND(($A134*Costeo!$B$120+0*Costeo!$C$120+0*Costeo!$D$120+0*Costeo!$E$120)&lt;=1000000,($A134*Costeo!$B$119+0*Costeo!$C$119+0*Costeo!$D$119+0*Costeo!$E$119)&lt;=1000),0,IF(($A134*Costeo!$B$120+0*Costeo!$C$120+0*Costeo!$D$120+0*Costeo!$E$120)&lt;=10000000,20,IF(($A134*Costeo!$B$120+0*Costeo!$C$120+0*Costeo!$D$120+0*Costeo!$E$120)&lt;=50000000,100,300)))+MAX(0,ROUNDUP(($A134*Costeo!$B$36+0*Costeo!$C$36+0*Costeo!$D$36+0*Costeo!$E$36)/5000,0)-1)*Costeo!$B$62+IF(($A134*Costeo!$B$36+0*Costeo!$C$36+0*Costeo!$D$36+0*Costeo!$E$36)&gt;5000,32-Costeo!$B$61,0))*Costeo!$B$51,2))))&gt;=0),$A134,1000000000)</f>
        <v>83</v>
      </c>
      <c r="C134" s="121">
        <f>IF(AND($A134*Costeo!$C$36&lt;=10000,(($A134)*$D$10-$B$4-((ROUND((MAX(0,(0*Costeo!$B$117+$A134*Costeo!$C$117+0*Costeo!$D$117+0*Costeo!$E$117)-100)*Costeo!$B$53+MAX(0,(0*Costeo!$B$118+$A134*Costeo!$C$118+0*Costeo!$D$118+0*Costeo!$E$118)-250)*Costeo!$B$52+(MAX(0,ROUNDUP(((0*Costeo!$B$116+$A134*Costeo!$C$116)+(0*Costeo!$D$116+0*Costeo!$E$116)*0.05)*2,0)-8)+(0*Costeo!$B$131+$A134*Costeo!$C$131+0*Costeo!$D$131+0*Costeo!$E$131))*Costeo!$B$54+IF((0*Costeo!$B$36+$A134*Costeo!$C$36)&lt;=2000,10,IF((0*Costeo!$B$36+$A134*Costeo!$C$36)&lt;=5000,15,IF((0*Costeo!$B$36+$A134*Costeo!$C$36)&lt;=10000,60,110)))-10)*Costeo!$B$51,2))+(ROUND((MAX(0,(0*Costeo!$B$130+$A134*Costeo!$C$130+0*Costeo!$D$130+0*Costeo!$E$130)+20*2*2*Costeo!$B$69+30*(1/3600*Costeo!$B$55+5/3600*Costeo!$B$56)-Costeo!$B$58)+IF(AND((0*Costeo!$B$120+$A134*Costeo!$C$120+0*Costeo!$D$120+0*Costeo!$E$120)&lt;=1000000,(0*Costeo!$B$119+$A134*Costeo!$C$119+0*Costeo!$D$119+0*Costeo!$E$119)&lt;=1000),0,IF((0*Costeo!$B$120+$A134*Costeo!$C$120+0*Costeo!$D$120+0*Costeo!$E$120)&lt;=10000000,20,IF((0*Costeo!$B$120+$A134*Costeo!$C$120+0*Costeo!$D$120+0*Costeo!$E$120)&lt;=50000000,100,300)))+MAX(0,ROUNDUP((0*Costeo!$B$36+$A134*Costeo!$C$36+0*Costeo!$D$36+0*Costeo!$E$36)/5000,0)-1)*Costeo!$B$62+IF((0*Costeo!$B$36+$A134*Costeo!$C$36+0*Costeo!$D$36+0*Costeo!$E$36)&gt;5000,32-Costeo!$B$61,0))*Costeo!$B$51,2))))&gt;=0),$A134,1000000000)</f>
        <v>1000000000</v>
      </c>
      <c r="D134" s="121">
        <f>IF(AND($A134*Costeo!$D$36&lt;=10000,(($A134)*$D$11-$B$4-((ROUND((MAX(0,(0*Costeo!$B$117+0*Costeo!$C$117+$A134*Costeo!$D$117+0*Costeo!$E$117)-100)*Costeo!$B$53+MAX(0,(0*Costeo!$B$118+0*Costeo!$C$118+$A134*Costeo!$D$118+0*Costeo!$E$118)-250)*Costeo!$B$52+(MAX(0,ROUNDUP(((0*Costeo!$B$116+0*Costeo!$C$116)+($A134*Costeo!$D$116+0*Costeo!$E$116)*0.05)*2,0)-8)+(0*Costeo!$B$131+0*Costeo!$C$131+$A134*Costeo!$D$131+0*Costeo!$E$131))*Costeo!$B$54+IF((0*Costeo!$B$36+0*Costeo!$C$36)&lt;=2000,10,IF((0*Costeo!$B$36+0*Costeo!$C$36)&lt;=5000,15,IF((0*Costeo!$B$36+0*Costeo!$C$36)&lt;=10000,60,110)))-10)*Costeo!$B$51,2))+(ROUND((MAX(0,(0*Costeo!$B$130+0*Costeo!$C$130+$A134*Costeo!$D$130+0*Costeo!$E$130)+20*2*2*Costeo!$B$69+30*(1/3600*Costeo!$B$55+5/3600*Costeo!$B$56)-Costeo!$B$58)+IF(AND((0*Costeo!$B$120+0*Costeo!$C$120+$A134*Costeo!$D$120+0*Costeo!$E$120)&lt;=1000000,(0*Costeo!$B$119+0*Costeo!$C$119+$A134*Costeo!$D$119+0*Costeo!$E$119)&lt;=1000),0,IF((0*Costeo!$B$120+0*Costeo!$C$120+$A134*Costeo!$D$120+0*Costeo!$E$120)&lt;=10000000,20,IF((0*Costeo!$B$120+0*Costeo!$C$120+$A134*Costeo!$D$120+0*Costeo!$E$120)&lt;=50000000,100,300)))+MAX(0,ROUNDUP((0*Costeo!$B$36+0*Costeo!$C$36+$A134*Costeo!$D$36+0*Costeo!$E$36)/5000,0)-1)*Costeo!$B$62+IF((0*Costeo!$B$36+0*Costeo!$C$36+$A134*Costeo!$D$36+0*Costeo!$E$36)&gt;5000,32-Costeo!$B$61,0))*Costeo!$B$51,2))))&gt;=0),$A134,1000000000)</f>
        <v>1000000000</v>
      </c>
      <c r="E134" s="121">
        <f>IF(AND($A134*Costeo!$E$36&lt;=10000,(($A134)*$D$12-$B$4-((ROUND((MAX(0,(0*Costeo!$B$117+0*Costeo!$C$117+0*Costeo!$D$117+$A134*Costeo!$E$117)-100)*Costeo!$B$53+MAX(0,(0*Costeo!$B$118+0*Costeo!$C$118+0*Costeo!$D$118+$A134*Costeo!$E$118)-250)*Costeo!$B$52+(MAX(0,ROUNDUP(((0*Costeo!$B$116+0*Costeo!$C$116)+(0*Costeo!$D$116+$A134*Costeo!$E$116)*0.05)*2,0)-8)+(0*Costeo!$B$131+0*Costeo!$C$131+0*Costeo!$D$131+$A134*Costeo!$E$131))*Costeo!$B$54+IF((0*Costeo!$B$36+0*Costeo!$C$36)&lt;=2000,10,IF((0*Costeo!$B$36+0*Costeo!$C$36)&lt;=5000,15,IF((0*Costeo!$B$36+0*Costeo!$C$36)&lt;=10000,60,110)))-10)*Costeo!$B$51,2))+(ROUND((MAX(0,(0*Costeo!$B$130+0*Costeo!$C$130+0*Costeo!$D$130+$A134*Costeo!$E$130)+20*2*2*Costeo!$B$69+30*(1/3600*Costeo!$B$55+5/3600*Costeo!$B$56)-Costeo!$B$58)+IF(AND((0*Costeo!$B$120+0*Costeo!$C$120+0*Costeo!$D$120+$A134*Costeo!$E$120)&lt;=1000000,(0*Costeo!$B$119+0*Costeo!$C$119+0*Costeo!$D$119+$A134*Costeo!$E$119)&lt;=1000),0,IF((0*Costeo!$B$120+0*Costeo!$C$120+0*Costeo!$D$120+$A134*Costeo!$E$120)&lt;=10000000,20,IF((0*Costeo!$B$120+0*Costeo!$C$120+0*Costeo!$D$120+$A134*Costeo!$E$120)&lt;=50000000,100,300)))+MAX(0,ROUNDUP((0*Costeo!$B$36+0*Costeo!$C$36+0*Costeo!$D$36+$A134*Costeo!$E$36)/5000,0)-1)*Costeo!$B$62+IF((0*Costeo!$B$36+0*Costeo!$C$36+0*Costeo!$D$36+$A134*Costeo!$E$36)&gt;5000,32-Costeo!$B$61,0))*Costeo!$B$51,2))))&gt;=0),$A134,1000000000)</f>
        <v>1000000000</v>
      </c>
    </row>
    <row r="135" hidden="1" outlineLevel="1" ht="30" customHeight="1" s="61">
      <c r="A135" s="52" t="n">
        <v>84</v>
      </c>
      <c r="B135" s="121">
        <f>IF(AND($A135*Costeo!$B$36&lt;=10000,(($A135)*$D$9-$B$4-((ROUND((MAX(0,($A135*Costeo!$B$117+0*Costeo!$C$117+0*Costeo!$D$117+0*Costeo!$E$117)-100)*Costeo!$B$53+MAX(0,($A135*Costeo!$B$118+0*Costeo!$C$118+0*Costeo!$D$118+0*Costeo!$E$118)-250)*Costeo!$B$52+(MAX(0,ROUNDUP((($A135*Costeo!$B$116+0*Costeo!$C$116)+(0*Costeo!$D$116+0*Costeo!$E$116)*0.05)*2,0)-8)+($A135*Costeo!$B$131+0*Costeo!$C$131+0*Costeo!$D$131+0*Costeo!$E$131))*Costeo!$B$54+IF(($A135*Costeo!$B$36+0*Costeo!$C$36)&lt;=2000,10,IF(($A135*Costeo!$B$36+0*Costeo!$C$36)&lt;=5000,15,IF(($A135*Costeo!$B$36+0*Costeo!$C$36)&lt;=10000,60,110)))-10)*Costeo!$B$51,2))+(ROUND((MAX(0,($A135*Costeo!$B$130+0*Costeo!$C$130+0*Costeo!$D$130+0*Costeo!$E$130)+20*2*2*Costeo!$B$69+30*(1/3600*Costeo!$B$55+5/3600*Costeo!$B$56)-Costeo!$B$58)+IF(AND(($A135*Costeo!$B$120+0*Costeo!$C$120+0*Costeo!$D$120+0*Costeo!$E$120)&lt;=1000000,($A135*Costeo!$B$119+0*Costeo!$C$119+0*Costeo!$D$119+0*Costeo!$E$119)&lt;=1000),0,IF(($A135*Costeo!$B$120+0*Costeo!$C$120+0*Costeo!$D$120+0*Costeo!$E$120)&lt;=10000000,20,IF(($A135*Costeo!$B$120+0*Costeo!$C$120+0*Costeo!$D$120+0*Costeo!$E$120)&lt;=50000000,100,300)))+MAX(0,ROUNDUP(($A135*Costeo!$B$36+0*Costeo!$C$36+0*Costeo!$D$36+0*Costeo!$E$36)/5000,0)-1)*Costeo!$B$62+IF(($A135*Costeo!$B$36+0*Costeo!$C$36+0*Costeo!$D$36+0*Costeo!$E$36)&gt;5000,32-Costeo!$B$61,0))*Costeo!$B$51,2))))&gt;=0),$A135,1000000000)</f>
        <v>84</v>
      </c>
      <c r="C135" s="121">
        <f>IF(AND($A135*Costeo!$C$36&lt;=10000,(($A135)*$D$10-$B$4-((ROUND((MAX(0,(0*Costeo!$B$117+$A135*Costeo!$C$117+0*Costeo!$D$117+0*Costeo!$E$117)-100)*Costeo!$B$53+MAX(0,(0*Costeo!$B$118+$A135*Costeo!$C$118+0*Costeo!$D$118+0*Costeo!$E$118)-250)*Costeo!$B$52+(MAX(0,ROUNDUP(((0*Costeo!$B$116+$A135*Costeo!$C$116)+(0*Costeo!$D$116+0*Costeo!$E$116)*0.05)*2,0)-8)+(0*Costeo!$B$131+$A135*Costeo!$C$131+0*Costeo!$D$131+0*Costeo!$E$131))*Costeo!$B$54+IF((0*Costeo!$B$36+$A135*Costeo!$C$36)&lt;=2000,10,IF((0*Costeo!$B$36+$A135*Costeo!$C$36)&lt;=5000,15,IF((0*Costeo!$B$36+$A135*Costeo!$C$36)&lt;=10000,60,110)))-10)*Costeo!$B$51,2))+(ROUND((MAX(0,(0*Costeo!$B$130+$A135*Costeo!$C$130+0*Costeo!$D$130+0*Costeo!$E$130)+20*2*2*Costeo!$B$69+30*(1/3600*Costeo!$B$55+5/3600*Costeo!$B$56)-Costeo!$B$58)+IF(AND((0*Costeo!$B$120+$A135*Costeo!$C$120+0*Costeo!$D$120+0*Costeo!$E$120)&lt;=1000000,(0*Costeo!$B$119+$A135*Costeo!$C$119+0*Costeo!$D$119+0*Costeo!$E$119)&lt;=1000),0,IF((0*Costeo!$B$120+$A135*Costeo!$C$120+0*Costeo!$D$120+0*Costeo!$E$120)&lt;=10000000,20,IF((0*Costeo!$B$120+$A135*Costeo!$C$120+0*Costeo!$D$120+0*Costeo!$E$120)&lt;=50000000,100,300)))+MAX(0,ROUNDUP((0*Costeo!$B$36+$A135*Costeo!$C$36+0*Costeo!$D$36+0*Costeo!$E$36)/5000,0)-1)*Costeo!$B$62+IF((0*Costeo!$B$36+$A135*Costeo!$C$36+0*Costeo!$D$36+0*Costeo!$E$36)&gt;5000,32-Costeo!$B$61,0))*Costeo!$B$51,2))))&gt;=0),$A135,1000000000)</f>
        <v>1000000000</v>
      </c>
      <c r="D135" s="121">
        <f>IF(AND($A135*Costeo!$D$36&lt;=10000,(($A135)*$D$11-$B$4-((ROUND((MAX(0,(0*Costeo!$B$117+0*Costeo!$C$117+$A135*Costeo!$D$117+0*Costeo!$E$117)-100)*Costeo!$B$53+MAX(0,(0*Costeo!$B$118+0*Costeo!$C$118+$A135*Costeo!$D$118+0*Costeo!$E$118)-250)*Costeo!$B$52+(MAX(0,ROUNDUP(((0*Costeo!$B$116+0*Costeo!$C$116)+($A135*Costeo!$D$116+0*Costeo!$E$116)*0.05)*2,0)-8)+(0*Costeo!$B$131+0*Costeo!$C$131+$A135*Costeo!$D$131+0*Costeo!$E$131))*Costeo!$B$54+IF((0*Costeo!$B$36+0*Costeo!$C$36)&lt;=2000,10,IF((0*Costeo!$B$36+0*Costeo!$C$36)&lt;=5000,15,IF((0*Costeo!$B$36+0*Costeo!$C$36)&lt;=10000,60,110)))-10)*Costeo!$B$51,2))+(ROUND((MAX(0,(0*Costeo!$B$130+0*Costeo!$C$130+$A135*Costeo!$D$130+0*Costeo!$E$130)+20*2*2*Costeo!$B$69+30*(1/3600*Costeo!$B$55+5/3600*Costeo!$B$56)-Costeo!$B$58)+IF(AND((0*Costeo!$B$120+0*Costeo!$C$120+$A135*Costeo!$D$120+0*Costeo!$E$120)&lt;=1000000,(0*Costeo!$B$119+0*Costeo!$C$119+$A135*Costeo!$D$119+0*Costeo!$E$119)&lt;=1000),0,IF((0*Costeo!$B$120+0*Costeo!$C$120+$A135*Costeo!$D$120+0*Costeo!$E$120)&lt;=10000000,20,IF((0*Costeo!$B$120+0*Costeo!$C$120+$A135*Costeo!$D$120+0*Costeo!$E$120)&lt;=50000000,100,300)))+MAX(0,ROUNDUP((0*Costeo!$B$36+0*Costeo!$C$36+$A135*Costeo!$D$36+0*Costeo!$E$36)/5000,0)-1)*Costeo!$B$62+IF((0*Costeo!$B$36+0*Costeo!$C$36+$A135*Costeo!$D$36+0*Costeo!$E$36)&gt;5000,32-Costeo!$B$61,0))*Costeo!$B$51,2))))&gt;=0),$A135,1000000000)</f>
        <v>1000000000</v>
      </c>
      <c r="E135" s="121">
        <f>IF(AND($A135*Costeo!$E$36&lt;=10000,(($A135)*$D$12-$B$4-((ROUND((MAX(0,(0*Costeo!$B$117+0*Costeo!$C$117+0*Costeo!$D$117+$A135*Costeo!$E$117)-100)*Costeo!$B$53+MAX(0,(0*Costeo!$B$118+0*Costeo!$C$118+0*Costeo!$D$118+$A135*Costeo!$E$118)-250)*Costeo!$B$52+(MAX(0,ROUNDUP(((0*Costeo!$B$116+0*Costeo!$C$116)+(0*Costeo!$D$116+$A135*Costeo!$E$116)*0.05)*2,0)-8)+(0*Costeo!$B$131+0*Costeo!$C$131+0*Costeo!$D$131+$A135*Costeo!$E$131))*Costeo!$B$54+IF((0*Costeo!$B$36+0*Costeo!$C$36)&lt;=2000,10,IF((0*Costeo!$B$36+0*Costeo!$C$36)&lt;=5000,15,IF((0*Costeo!$B$36+0*Costeo!$C$36)&lt;=10000,60,110)))-10)*Costeo!$B$51,2))+(ROUND((MAX(0,(0*Costeo!$B$130+0*Costeo!$C$130+0*Costeo!$D$130+$A135*Costeo!$E$130)+20*2*2*Costeo!$B$69+30*(1/3600*Costeo!$B$55+5/3600*Costeo!$B$56)-Costeo!$B$58)+IF(AND((0*Costeo!$B$120+0*Costeo!$C$120+0*Costeo!$D$120+$A135*Costeo!$E$120)&lt;=1000000,(0*Costeo!$B$119+0*Costeo!$C$119+0*Costeo!$D$119+$A135*Costeo!$E$119)&lt;=1000),0,IF((0*Costeo!$B$120+0*Costeo!$C$120+0*Costeo!$D$120+$A135*Costeo!$E$120)&lt;=10000000,20,IF((0*Costeo!$B$120+0*Costeo!$C$120+0*Costeo!$D$120+$A135*Costeo!$E$120)&lt;=50000000,100,300)))+MAX(0,ROUNDUP((0*Costeo!$B$36+0*Costeo!$C$36+0*Costeo!$D$36+$A135*Costeo!$E$36)/5000,0)-1)*Costeo!$B$62+IF((0*Costeo!$B$36+0*Costeo!$C$36+0*Costeo!$D$36+$A135*Costeo!$E$36)&gt;5000,32-Costeo!$B$61,0))*Costeo!$B$51,2))))&gt;=0),$A135,1000000000)</f>
        <v>1000000000</v>
      </c>
    </row>
    <row r="136" hidden="1" outlineLevel="1" ht="30" customHeight="1" s="61">
      <c r="A136" s="52" t="n">
        <v>85</v>
      </c>
      <c r="B136" s="121">
        <f>IF(AND($A136*Costeo!$B$36&lt;=10000,(($A136)*$D$9-$B$4-((ROUND((MAX(0,($A136*Costeo!$B$117+0*Costeo!$C$117+0*Costeo!$D$117+0*Costeo!$E$117)-100)*Costeo!$B$53+MAX(0,($A136*Costeo!$B$118+0*Costeo!$C$118+0*Costeo!$D$118+0*Costeo!$E$118)-250)*Costeo!$B$52+(MAX(0,ROUNDUP((($A136*Costeo!$B$116+0*Costeo!$C$116)+(0*Costeo!$D$116+0*Costeo!$E$116)*0.05)*2,0)-8)+($A136*Costeo!$B$131+0*Costeo!$C$131+0*Costeo!$D$131+0*Costeo!$E$131))*Costeo!$B$54+IF(($A136*Costeo!$B$36+0*Costeo!$C$36)&lt;=2000,10,IF(($A136*Costeo!$B$36+0*Costeo!$C$36)&lt;=5000,15,IF(($A136*Costeo!$B$36+0*Costeo!$C$36)&lt;=10000,60,110)))-10)*Costeo!$B$51,2))+(ROUND((MAX(0,($A136*Costeo!$B$130+0*Costeo!$C$130+0*Costeo!$D$130+0*Costeo!$E$130)+20*2*2*Costeo!$B$69+30*(1/3600*Costeo!$B$55+5/3600*Costeo!$B$56)-Costeo!$B$58)+IF(AND(($A136*Costeo!$B$120+0*Costeo!$C$120+0*Costeo!$D$120+0*Costeo!$E$120)&lt;=1000000,($A136*Costeo!$B$119+0*Costeo!$C$119+0*Costeo!$D$119+0*Costeo!$E$119)&lt;=1000),0,IF(($A136*Costeo!$B$120+0*Costeo!$C$120+0*Costeo!$D$120+0*Costeo!$E$120)&lt;=10000000,20,IF(($A136*Costeo!$B$120+0*Costeo!$C$120+0*Costeo!$D$120+0*Costeo!$E$120)&lt;=50000000,100,300)))+MAX(0,ROUNDUP(($A136*Costeo!$B$36+0*Costeo!$C$36+0*Costeo!$D$36+0*Costeo!$E$36)/5000,0)-1)*Costeo!$B$62+IF(($A136*Costeo!$B$36+0*Costeo!$C$36+0*Costeo!$D$36+0*Costeo!$E$36)&gt;5000,32-Costeo!$B$61,0))*Costeo!$B$51,2))))&gt;=0),$A136,1000000000)</f>
        <v>85</v>
      </c>
      <c r="C136" s="121">
        <f>IF(AND($A136*Costeo!$C$36&lt;=10000,(($A136)*$D$10-$B$4-((ROUND((MAX(0,(0*Costeo!$B$117+$A136*Costeo!$C$117+0*Costeo!$D$117+0*Costeo!$E$117)-100)*Costeo!$B$53+MAX(0,(0*Costeo!$B$118+$A136*Costeo!$C$118+0*Costeo!$D$118+0*Costeo!$E$118)-250)*Costeo!$B$52+(MAX(0,ROUNDUP(((0*Costeo!$B$116+$A136*Costeo!$C$116)+(0*Costeo!$D$116+0*Costeo!$E$116)*0.05)*2,0)-8)+(0*Costeo!$B$131+$A136*Costeo!$C$131+0*Costeo!$D$131+0*Costeo!$E$131))*Costeo!$B$54+IF((0*Costeo!$B$36+$A136*Costeo!$C$36)&lt;=2000,10,IF((0*Costeo!$B$36+$A136*Costeo!$C$36)&lt;=5000,15,IF((0*Costeo!$B$36+$A136*Costeo!$C$36)&lt;=10000,60,110)))-10)*Costeo!$B$51,2))+(ROUND((MAX(0,(0*Costeo!$B$130+$A136*Costeo!$C$130+0*Costeo!$D$130+0*Costeo!$E$130)+20*2*2*Costeo!$B$69+30*(1/3600*Costeo!$B$55+5/3600*Costeo!$B$56)-Costeo!$B$58)+IF(AND((0*Costeo!$B$120+$A136*Costeo!$C$120+0*Costeo!$D$120+0*Costeo!$E$120)&lt;=1000000,(0*Costeo!$B$119+$A136*Costeo!$C$119+0*Costeo!$D$119+0*Costeo!$E$119)&lt;=1000),0,IF((0*Costeo!$B$120+$A136*Costeo!$C$120+0*Costeo!$D$120+0*Costeo!$E$120)&lt;=10000000,20,IF((0*Costeo!$B$120+$A136*Costeo!$C$120+0*Costeo!$D$120+0*Costeo!$E$120)&lt;=50000000,100,300)))+MAX(0,ROUNDUP((0*Costeo!$B$36+$A136*Costeo!$C$36+0*Costeo!$D$36+0*Costeo!$E$36)/5000,0)-1)*Costeo!$B$62+IF((0*Costeo!$B$36+$A136*Costeo!$C$36+0*Costeo!$D$36+0*Costeo!$E$36)&gt;5000,32-Costeo!$B$61,0))*Costeo!$B$51,2))))&gt;=0),$A136,1000000000)</f>
        <v>1000000000</v>
      </c>
      <c r="D136" s="121">
        <f>IF(AND($A136*Costeo!$D$36&lt;=10000,(($A136)*$D$11-$B$4-((ROUND((MAX(0,(0*Costeo!$B$117+0*Costeo!$C$117+$A136*Costeo!$D$117+0*Costeo!$E$117)-100)*Costeo!$B$53+MAX(0,(0*Costeo!$B$118+0*Costeo!$C$118+$A136*Costeo!$D$118+0*Costeo!$E$118)-250)*Costeo!$B$52+(MAX(0,ROUNDUP(((0*Costeo!$B$116+0*Costeo!$C$116)+($A136*Costeo!$D$116+0*Costeo!$E$116)*0.05)*2,0)-8)+(0*Costeo!$B$131+0*Costeo!$C$131+$A136*Costeo!$D$131+0*Costeo!$E$131))*Costeo!$B$54+IF((0*Costeo!$B$36+0*Costeo!$C$36)&lt;=2000,10,IF((0*Costeo!$B$36+0*Costeo!$C$36)&lt;=5000,15,IF((0*Costeo!$B$36+0*Costeo!$C$36)&lt;=10000,60,110)))-10)*Costeo!$B$51,2))+(ROUND((MAX(0,(0*Costeo!$B$130+0*Costeo!$C$130+$A136*Costeo!$D$130+0*Costeo!$E$130)+20*2*2*Costeo!$B$69+30*(1/3600*Costeo!$B$55+5/3600*Costeo!$B$56)-Costeo!$B$58)+IF(AND((0*Costeo!$B$120+0*Costeo!$C$120+$A136*Costeo!$D$120+0*Costeo!$E$120)&lt;=1000000,(0*Costeo!$B$119+0*Costeo!$C$119+$A136*Costeo!$D$119+0*Costeo!$E$119)&lt;=1000),0,IF((0*Costeo!$B$120+0*Costeo!$C$120+$A136*Costeo!$D$120+0*Costeo!$E$120)&lt;=10000000,20,IF((0*Costeo!$B$120+0*Costeo!$C$120+$A136*Costeo!$D$120+0*Costeo!$E$120)&lt;=50000000,100,300)))+MAX(0,ROUNDUP((0*Costeo!$B$36+0*Costeo!$C$36+$A136*Costeo!$D$36+0*Costeo!$E$36)/5000,0)-1)*Costeo!$B$62+IF((0*Costeo!$B$36+0*Costeo!$C$36+$A136*Costeo!$D$36+0*Costeo!$E$36)&gt;5000,32-Costeo!$B$61,0))*Costeo!$B$51,2))))&gt;=0),$A136,1000000000)</f>
        <v>1000000000</v>
      </c>
      <c r="E136" s="121">
        <f>IF(AND($A136*Costeo!$E$36&lt;=10000,(($A136)*$D$12-$B$4-((ROUND((MAX(0,(0*Costeo!$B$117+0*Costeo!$C$117+0*Costeo!$D$117+$A136*Costeo!$E$117)-100)*Costeo!$B$53+MAX(0,(0*Costeo!$B$118+0*Costeo!$C$118+0*Costeo!$D$118+$A136*Costeo!$E$118)-250)*Costeo!$B$52+(MAX(0,ROUNDUP(((0*Costeo!$B$116+0*Costeo!$C$116)+(0*Costeo!$D$116+$A136*Costeo!$E$116)*0.05)*2,0)-8)+(0*Costeo!$B$131+0*Costeo!$C$131+0*Costeo!$D$131+$A136*Costeo!$E$131))*Costeo!$B$54+IF((0*Costeo!$B$36+0*Costeo!$C$36)&lt;=2000,10,IF((0*Costeo!$B$36+0*Costeo!$C$36)&lt;=5000,15,IF((0*Costeo!$B$36+0*Costeo!$C$36)&lt;=10000,60,110)))-10)*Costeo!$B$51,2))+(ROUND((MAX(0,(0*Costeo!$B$130+0*Costeo!$C$130+0*Costeo!$D$130+$A136*Costeo!$E$130)+20*2*2*Costeo!$B$69+30*(1/3600*Costeo!$B$55+5/3600*Costeo!$B$56)-Costeo!$B$58)+IF(AND((0*Costeo!$B$120+0*Costeo!$C$120+0*Costeo!$D$120+$A136*Costeo!$E$120)&lt;=1000000,(0*Costeo!$B$119+0*Costeo!$C$119+0*Costeo!$D$119+$A136*Costeo!$E$119)&lt;=1000),0,IF((0*Costeo!$B$120+0*Costeo!$C$120+0*Costeo!$D$120+$A136*Costeo!$E$120)&lt;=10000000,20,IF((0*Costeo!$B$120+0*Costeo!$C$120+0*Costeo!$D$120+$A136*Costeo!$E$120)&lt;=50000000,100,300)))+MAX(0,ROUNDUP((0*Costeo!$B$36+0*Costeo!$C$36+0*Costeo!$D$36+$A136*Costeo!$E$36)/5000,0)-1)*Costeo!$B$62+IF((0*Costeo!$B$36+0*Costeo!$C$36+0*Costeo!$D$36+$A136*Costeo!$E$36)&gt;5000,32-Costeo!$B$61,0))*Costeo!$B$51,2))))&gt;=0),$A136,1000000000)</f>
        <v>1000000000</v>
      </c>
    </row>
    <row r="137" hidden="1" outlineLevel="1" ht="30" customHeight="1" s="61">
      <c r="A137" s="52" t="n">
        <v>86</v>
      </c>
      <c r="B137" s="121">
        <f>IF(AND($A137*Costeo!$B$36&lt;=10000,(($A137)*$D$9-$B$4-((ROUND((MAX(0,($A137*Costeo!$B$117+0*Costeo!$C$117+0*Costeo!$D$117+0*Costeo!$E$117)-100)*Costeo!$B$53+MAX(0,($A137*Costeo!$B$118+0*Costeo!$C$118+0*Costeo!$D$118+0*Costeo!$E$118)-250)*Costeo!$B$52+(MAX(0,ROUNDUP((($A137*Costeo!$B$116+0*Costeo!$C$116)+(0*Costeo!$D$116+0*Costeo!$E$116)*0.05)*2,0)-8)+($A137*Costeo!$B$131+0*Costeo!$C$131+0*Costeo!$D$131+0*Costeo!$E$131))*Costeo!$B$54+IF(($A137*Costeo!$B$36+0*Costeo!$C$36)&lt;=2000,10,IF(($A137*Costeo!$B$36+0*Costeo!$C$36)&lt;=5000,15,IF(($A137*Costeo!$B$36+0*Costeo!$C$36)&lt;=10000,60,110)))-10)*Costeo!$B$51,2))+(ROUND((MAX(0,($A137*Costeo!$B$130+0*Costeo!$C$130+0*Costeo!$D$130+0*Costeo!$E$130)+20*2*2*Costeo!$B$69+30*(1/3600*Costeo!$B$55+5/3600*Costeo!$B$56)-Costeo!$B$58)+IF(AND(($A137*Costeo!$B$120+0*Costeo!$C$120+0*Costeo!$D$120+0*Costeo!$E$120)&lt;=1000000,($A137*Costeo!$B$119+0*Costeo!$C$119+0*Costeo!$D$119+0*Costeo!$E$119)&lt;=1000),0,IF(($A137*Costeo!$B$120+0*Costeo!$C$120+0*Costeo!$D$120+0*Costeo!$E$120)&lt;=10000000,20,IF(($A137*Costeo!$B$120+0*Costeo!$C$120+0*Costeo!$D$120+0*Costeo!$E$120)&lt;=50000000,100,300)))+MAX(0,ROUNDUP(($A137*Costeo!$B$36+0*Costeo!$C$36+0*Costeo!$D$36+0*Costeo!$E$36)/5000,0)-1)*Costeo!$B$62+IF(($A137*Costeo!$B$36+0*Costeo!$C$36+0*Costeo!$D$36+0*Costeo!$E$36)&gt;5000,32-Costeo!$B$61,0))*Costeo!$B$51,2))))&gt;=0),$A137,1000000000)</f>
        <v>86</v>
      </c>
      <c r="C137" s="121">
        <f>IF(AND($A137*Costeo!$C$36&lt;=10000,(($A137)*$D$10-$B$4-((ROUND((MAX(0,(0*Costeo!$B$117+$A137*Costeo!$C$117+0*Costeo!$D$117+0*Costeo!$E$117)-100)*Costeo!$B$53+MAX(0,(0*Costeo!$B$118+$A137*Costeo!$C$118+0*Costeo!$D$118+0*Costeo!$E$118)-250)*Costeo!$B$52+(MAX(0,ROUNDUP(((0*Costeo!$B$116+$A137*Costeo!$C$116)+(0*Costeo!$D$116+0*Costeo!$E$116)*0.05)*2,0)-8)+(0*Costeo!$B$131+$A137*Costeo!$C$131+0*Costeo!$D$131+0*Costeo!$E$131))*Costeo!$B$54+IF((0*Costeo!$B$36+$A137*Costeo!$C$36)&lt;=2000,10,IF((0*Costeo!$B$36+$A137*Costeo!$C$36)&lt;=5000,15,IF((0*Costeo!$B$36+$A137*Costeo!$C$36)&lt;=10000,60,110)))-10)*Costeo!$B$51,2))+(ROUND((MAX(0,(0*Costeo!$B$130+$A137*Costeo!$C$130+0*Costeo!$D$130+0*Costeo!$E$130)+20*2*2*Costeo!$B$69+30*(1/3600*Costeo!$B$55+5/3600*Costeo!$B$56)-Costeo!$B$58)+IF(AND((0*Costeo!$B$120+$A137*Costeo!$C$120+0*Costeo!$D$120+0*Costeo!$E$120)&lt;=1000000,(0*Costeo!$B$119+$A137*Costeo!$C$119+0*Costeo!$D$119+0*Costeo!$E$119)&lt;=1000),0,IF((0*Costeo!$B$120+$A137*Costeo!$C$120+0*Costeo!$D$120+0*Costeo!$E$120)&lt;=10000000,20,IF((0*Costeo!$B$120+$A137*Costeo!$C$120+0*Costeo!$D$120+0*Costeo!$E$120)&lt;=50000000,100,300)))+MAX(0,ROUNDUP((0*Costeo!$B$36+$A137*Costeo!$C$36+0*Costeo!$D$36+0*Costeo!$E$36)/5000,0)-1)*Costeo!$B$62+IF((0*Costeo!$B$36+$A137*Costeo!$C$36+0*Costeo!$D$36+0*Costeo!$E$36)&gt;5000,32-Costeo!$B$61,0))*Costeo!$B$51,2))))&gt;=0),$A137,1000000000)</f>
        <v>1000000000</v>
      </c>
      <c r="D137" s="121">
        <f>IF(AND($A137*Costeo!$D$36&lt;=10000,(($A137)*$D$11-$B$4-((ROUND((MAX(0,(0*Costeo!$B$117+0*Costeo!$C$117+$A137*Costeo!$D$117+0*Costeo!$E$117)-100)*Costeo!$B$53+MAX(0,(0*Costeo!$B$118+0*Costeo!$C$118+$A137*Costeo!$D$118+0*Costeo!$E$118)-250)*Costeo!$B$52+(MAX(0,ROUNDUP(((0*Costeo!$B$116+0*Costeo!$C$116)+($A137*Costeo!$D$116+0*Costeo!$E$116)*0.05)*2,0)-8)+(0*Costeo!$B$131+0*Costeo!$C$131+$A137*Costeo!$D$131+0*Costeo!$E$131))*Costeo!$B$54+IF((0*Costeo!$B$36+0*Costeo!$C$36)&lt;=2000,10,IF((0*Costeo!$B$36+0*Costeo!$C$36)&lt;=5000,15,IF((0*Costeo!$B$36+0*Costeo!$C$36)&lt;=10000,60,110)))-10)*Costeo!$B$51,2))+(ROUND((MAX(0,(0*Costeo!$B$130+0*Costeo!$C$130+$A137*Costeo!$D$130+0*Costeo!$E$130)+20*2*2*Costeo!$B$69+30*(1/3600*Costeo!$B$55+5/3600*Costeo!$B$56)-Costeo!$B$58)+IF(AND((0*Costeo!$B$120+0*Costeo!$C$120+$A137*Costeo!$D$120+0*Costeo!$E$120)&lt;=1000000,(0*Costeo!$B$119+0*Costeo!$C$119+$A137*Costeo!$D$119+0*Costeo!$E$119)&lt;=1000),0,IF((0*Costeo!$B$120+0*Costeo!$C$120+$A137*Costeo!$D$120+0*Costeo!$E$120)&lt;=10000000,20,IF((0*Costeo!$B$120+0*Costeo!$C$120+$A137*Costeo!$D$120+0*Costeo!$E$120)&lt;=50000000,100,300)))+MAX(0,ROUNDUP((0*Costeo!$B$36+0*Costeo!$C$36+$A137*Costeo!$D$36+0*Costeo!$E$36)/5000,0)-1)*Costeo!$B$62+IF((0*Costeo!$B$36+0*Costeo!$C$36+$A137*Costeo!$D$36+0*Costeo!$E$36)&gt;5000,32-Costeo!$B$61,0))*Costeo!$B$51,2))))&gt;=0),$A137,1000000000)</f>
        <v>1000000000</v>
      </c>
      <c r="E137" s="121">
        <f>IF(AND($A137*Costeo!$E$36&lt;=10000,(($A137)*$D$12-$B$4-((ROUND((MAX(0,(0*Costeo!$B$117+0*Costeo!$C$117+0*Costeo!$D$117+$A137*Costeo!$E$117)-100)*Costeo!$B$53+MAX(0,(0*Costeo!$B$118+0*Costeo!$C$118+0*Costeo!$D$118+$A137*Costeo!$E$118)-250)*Costeo!$B$52+(MAX(0,ROUNDUP(((0*Costeo!$B$116+0*Costeo!$C$116)+(0*Costeo!$D$116+$A137*Costeo!$E$116)*0.05)*2,0)-8)+(0*Costeo!$B$131+0*Costeo!$C$131+0*Costeo!$D$131+$A137*Costeo!$E$131))*Costeo!$B$54+IF((0*Costeo!$B$36+0*Costeo!$C$36)&lt;=2000,10,IF((0*Costeo!$B$36+0*Costeo!$C$36)&lt;=5000,15,IF((0*Costeo!$B$36+0*Costeo!$C$36)&lt;=10000,60,110)))-10)*Costeo!$B$51,2))+(ROUND((MAX(0,(0*Costeo!$B$130+0*Costeo!$C$130+0*Costeo!$D$130+$A137*Costeo!$E$130)+20*2*2*Costeo!$B$69+30*(1/3600*Costeo!$B$55+5/3600*Costeo!$B$56)-Costeo!$B$58)+IF(AND((0*Costeo!$B$120+0*Costeo!$C$120+0*Costeo!$D$120+$A137*Costeo!$E$120)&lt;=1000000,(0*Costeo!$B$119+0*Costeo!$C$119+0*Costeo!$D$119+$A137*Costeo!$E$119)&lt;=1000),0,IF((0*Costeo!$B$120+0*Costeo!$C$120+0*Costeo!$D$120+$A137*Costeo!$E$120)&lt;=10000000,20,IF((0*Costeo!$B$120+0*Costeo!$C$120+0*Costeo!$D$120+$A137*Costeo!$E$120)&lt;=50000000,100,300)))+MAX(0,ROUNDUP((0*Costeo!$B$36+0*Costeo!$C$36+0*Costeo!$D$36+$A137*Costeo!$E$36)/5000,0)-1)*Costeo!$B$62+IF((0*Costeo!$B$36+0*Costeo!$C$36+0*Costeo!$D$36+$A137*Costeo!$E$36)&gt;5000,32-Costeo!$B$61,0))*Costeo!$B$51,2))))&gt;=0),$A137,1000000000)</f>
        <v>1000000000</v>
      </c>
    </row>
    <row r="138" hidden="1" outlineLevel="1" ht="30" customHeight="1" s="61">
      <c r="A138" s="52" t="n">
        <v>87</v>
      </c>
      <c r="B138" s="121">
        <f>IF(AND($A138*Costeo!$B$36&lt;=10000,(($A138)*$D$9-$B$4-((ROUND((MAX(0,($A138*Costeo!$B$117+0*Costeo!$C$117+0*Costeo!$D$117+0*Costeo!$E$117)-100)*Costeo!$B$53+MAX(0,($A138*Costeo!$B$118+0*Costeo!$C$118+0*Costeo!$D$118+0*Costeo!$E$118)-250)*Costeo!$B$52+(MAX(0,ROUNDUP((($A138*Costeo!$B$116+0*Costeo!$C$116)+(0*Costeo!$D$116+0*Costeo!$E$116)*0.05)*2,0)-8)+($A138*Costeo!$B$131+0*Costeo!$C$131+0*Costeo!$D$131+0*Costeo!$E$131))*Costeo!$B$54+IF(($A138*Costeo!$B$36+0*Costeo!$C$36)&lt;=2000,10,IF(($A138*Costeo!$B$36+0*Costeo!$C$36)&lt;=5000,15,IF(($A138*Costeo!$B$36+0*Costeo!$C$36)&lt;=10000,60,110)))-10)*Costeo!$B$51,2))+(ROUND((MAX(0,($A138*Costeo!$B$130+0*Costeo!$C$130+0*Costeo!$D$130+0*Costeo!$E$130)+20*2*2*Costeo!$B$69+30*(1/3600*Costeo!$B$55+5/3600*Costeo!$B$56)-Costeo!$B$58)+IF(AND(($A138*Costeo!$B$120+0*Costeo!$C$120+0*Costeo!$D$120+0*Costeo!$E$120)&lt;=1000000,($A138*Costeo!$B$119+0*Costeo!$C$119+0*Costeo!$D$119+0*Costeo!$E$119)&lt;=1000),0,IF(($A138*Costeo!$B$120+0*Costeo!$C$120+0*Costeo!$D$120+0*Costeo!$E$120)&lt;=10000000,20,IF(($A138*Costeo!$B$120+0*Costeo!$C$120+0*Costeo!$D$120+0*Costeo!$E$120)&lt;=50000000,100,300)))+MAX(0,ROUNDUP(($A138*Costeo!$B$36+0*Costeo!$C$36+0*Costeo!$D$36+0*Costeo!$E$36)/5000,0)-1)*Costeo!$B$62+IF(($A138*Costeo!$B$36+0*Costeo!$C$36+0*Costeo!$D$36+0*Costeo!$E$36)&gt;5000,32-Costeo!$B$61,0))*Costeo!$B$51,2))))&gt;=0),$A138,1000000000)</f>
        <v>87</v>
      </c>
      <c r="C138" s="121">
        <f>IF(AND($A138*Costeo!$C$36&lt;=10000,(($A138)*$D$10-$B$4-((ROUND((MAX(0,(0*Costeo!$B$117+$A138*Costeo!$C$117+0*Costeo!$D$117+0*Costeo!$E$117)-100)*Costeo!$B$53+MAX(0,(0*Costeo!$B$118+$A138*Costeo!$C$118+0*Costeo!$D$118+0*Costeo!$E$118)-250)*Costeo!$B$52+(MAX(0,ROUNDUP(((0*Costeo!$B$116+$A138*Costeo!$C$116)+(0*Costeo!$D$116+0*Costeo!$E$116)*0.05)*2,0)-8)+(0*Costeo!$B$131+$A138*Costeo!$C$131+0*Costeo!$D$131+0*Costeo!$E$131))*Costeo!$B$54+IF((0*Costeo!$B$36+$A138*Costeo!$C$36)&lt;=2000,10,IF((0*Costeo!$B$36+$A138*Costeo!$C$36)&lt;=5000,15,IF((0*Costeo!$B$36+$A138*Costeo!$C$36)&lt;=10000,60,110)))-10)*Costeo!$B$51,2))+(ROUND((MAX(0,(0*Costeo!$B$130+$A138*Costeo!$C$130+0*Costeo!$D$130+0*Costeo!$E$130)+20*2*2*Costeo!$B$69+30*(1/3600*Costeo!$B$55+5/3600*Costeo!$B$56)-Costeo!$B$58)+IF(AND((0*Costeo!$B$120+$A138*Costeo!$C$120+0*Costeo!$D$120+0*Costeo!$E$120)&lt;=1000000,(0*Costeo!$B$119+$A138*Costeo!$C$119+0*Costeo!$D$119+0*Costeo!$E$119)&lt;=1000),0,IF((0*Costeo!$B$120+$A138*Costeo!$C$120+0*Costeo!$D$120+0*Costeo!$E$120)&lt;=10000000,20,IF((0*Costeo!$B$120+$A138*Costeo!$C$120+0*Costeo!$D$120+0*Costeo!$E$120)&lt;=50000000,100,300)))+MAX(0,ROUNDUP((0*Costeo!$B$36+$A138*Costeo!$C$36+0*Costeo!$D$36+0*Costeo!$E$36)/5000,0)-1)*Costeo!$B$62+IF((0*Costeo!$B$36+$A138*Costeo!$C$36+0*Costeo!$D$36+0*Costeo!$E$36)&gt;5000,32-Costeo!$B$61,0))*Costeo!$B$51,2))))&gt;=0),$A138,1000000000)</f>
        <v>1000000000</v>
      </c>
      <c r="D138" s="121">
        <f>IF(AND($A138*Costeo!$D$36&lt;=10000,(($A138)*$D$11-$B$4-((ROUND((MAX(0,(0*Costeo!$B$117+0*Costeo!$C$117+$A138*Costeo!$D$117+0*Costeo!$E$117)-100)*Costeo!$B$53+MAX(0,(0*Costeo!$B$118+0*Costeo!$C$118+$A138*Costeo!$D$118+0*Costeo!$E$118)-250)*Costeo!$B$52+(MAX(0,ROUNDUP(((0*Costeo!$B$116+0*Costeo!$C$116)+($A138*Costeo!$D$116+0*Costeo!$E$116)*0.05)*2,0)-8)+(0*Costeo!$B$131+0*Costeo!$C$131+$A138*Costeo!$D$131+0*Costeo!$E$131))*Costeo!$B$54+IF((0*Costeo!$B$36+0*Costeo!$C$36)&lt;=2000,10,IF((0*Costeo!$B$36+0*Costeo!$C$36)&lt;=5000,15,IF((0*Costeo!$B$36+0*Costeo!$C$36)&lt;=10000,60,110)))-10)*Costeo!$B$51,2))+(ROUND((MAX(0,(0*Costeo!$B$130+0*Costeo!$C$130+$A138*Costeo!$D$130+0*Costeo!$E$130)+20*2*2*Costeo!$B$69+30*(1/3600*Costeo!$B$55+5/3600*Costeo!$B$56)-Costeo!$B$58)+IF(AND((0*Costeo!$B$120+0*Costeo!$C$120+$A138*Costeo!$D$120+0*Costeo!$E$120)&lt;=1000000,(0*Costeo!$B$119+0*Costeo!$C$119+$A138*Costeo!$D$119+0*Costeo!$E$119)&lt;=1000),0,IF((0*Costeo!$B$120+0*Costeo!$C$120+$A138*Costeo!$D$120+0*Costeo!$E$120)&lt;=10000000,20,IF((0*Costeo!$B$120+0*Costeo!$C$120+$A138*Costeo!$D$120+0*Costeo!$E$120)&lt;=50000000,100,300)))+MAX(0,ROUNDUP((0*Costeo!$B$36+0*Costeo!$C$36+$A138*Costeo!$D$36+0*Costeo!$E$36)/5000,0)-1)*Costeo!$B$62+IF((0*Costeo!$B$36+0*Costeo!$C$36+$A138*Costeo!$D$36+0*Costeo!$E$36)&gt;5000,32-Costeo!$B$61,0))*Costeo!$B$51,2))))&gt;=0),$A138,1000000000)</f>
        <v>1000000000</v>
      </c>
      <c r="E138" s="121">
        <f>IF(AND($A138*Costeo!$E$36&lt;=10000,(($A138)*$D$12-$B$4-((ROUND((MAX(0,(0*Costeo!$B$117+0*Costeo!$C$117+0*Costeo!$D$117+$A138*Costeo!$E$117)-100)*Costeo!$B$53+MAX(0,(0*Costeo!$B$118+0*Costeo!$C$118+0*Costeo!$D$118+$A138*Costeo!$E$118)-250)*Costeo!$B$52+(MAX(0,ROUNDUP(((0*Costeo!$B$116+0*Costeo!$C$116)+(0*Costeo!$D$116+$A138*Costeo!$E$116)*0.05)*2,0)-8)+(0*Costeo!$B$131+0*Costeo!$C$131+0*Costeo!$D$131+$A138*Costeo!$E$131))*Costeo!$B$54+IF((0*Costeo!$B$36+0*Costeo!$C$36)&lt;=2000,10,IF((0*Costeo!$B$36+0*Costeo!$C$36)&lt;=5000,15,IF((0*Costeo!$B$36+0*Costeo!$C$36)&lt;=10000,60,110)))-10)*Costeo!$B$51,2))+(ROUND((MAX(0,(0*Costeo!$B$130+0*Costeo!$C$130+0*Costeo!$D$130+$A138*Costeo!$E$130)+20*2*2*Costeo!$B$69+30*(1/3600*Costeo!$B$55+5/3600*Costeo!$B$56)-Costeo!$B$58)+IF(AND((0*Costeo!$B$120+0*Costeo!$C$120+0*Costeo!$D$120+$A138*Costeo!$E$120)&lt;=1000000,(0*Costeo!$B$119+0*Costeo!$C$119+0*Costeo!$D$119+$A138*Costeo!$E$119)&lt;=1000),0,IF((0*Costeo!$B$120+0*Costeo!$C$120+0*Costeo!$D$120+$A138*Costeo!$E$120)&lt;=10000000,20,IF((0*Costeo!$B$120+0*Costeo!$C$120+0*Costeo!$D$120+$A138*Costeo!$E$120)&lt;=50000000,100,300)))+MAX(0,ROUNDUP((0*Costeo!$B$36+0*Costeo!$C$36+0*Costeo!$D$36+$A138*Costeo!$E$36)/5000,0)-1)*Costeo!$B$62+IF((0*Costeo!$B$36+0*Costeo!$C$36+0*Costeo!$D$36+$A138*Costeo!$E$36)&gt;5000,32-Costeo!$B$61,0))*Costeo!$B$51,2))))&gt;=0),$A138,1000000000)</f>
        <v>1000000000</v>
      </c>
    </row>
    <row r="139" hidden="1" outlineLevel="1" ht="30" customHeight="1" s="61">
      <c r="A139" s="52" t="n">
        <v>88</v>
      </c>
      <c r="B139" s="121">
        <f>IF(AND($A139*Costeo!$B$36&lt;=10000,(($A139)*$D$9-$B$4-((ROUND((MAX(0,($A139*Costeo!$B$117+0*Costeo!$C$117+0*Costeo!$D$117+0*Costeo!$E$117)-100)*Costeo!$B$53+MAX(0,($A139*Costeo!$B$118+0*Costeo!$C$118+0*Costeo!$D$118+0*Costeo!$E$118)-250)*Costeo!$B$52+(MAX(0,ROUNDUP((($A139*Costeo!$B$116+0*Costeo!$C$116)+(0*Costeo!$D$116+0*Costeo!$E$116)*0.05)*2,0)-8)+($A139*Costeo!$B$131+0*Costeo!$C$131+0*Costeo!$D$131+0*Costeo!$E$131))*Costeo!$B$54+IF(($A139*Costeo!$B$36+0*Costeo!$C$36)&lt;=2000,10,IF(($A139*Costeo!$B$36+0*Costeo!$C$36)&lt;=5000,15,IF(($A139*Costeo!$B$36+0*Costeo!$C$36)&lt;=10000,60,110)))-10)*Costeo!$B$51,2))+(ROUND((MAX(0,($A139*Costeo!$B$130+0*Costeo!$C$130+0*Costeo!$D$130+0*Costeo!$E$130)+20*2*2*Costeo!$B$69+30*(1/3600*Costeo!$B$55+5/3600*Costeo!$B$56)-Costeo!$B$58)+IF(AND(($A139*Costeo!$B$120+0*Costeo!$C$120+0*Costeo!$D$120+0*Costeo!$E$120)&lt;=1000000,($A139*Costeo!$B$119+0*Costeo!$C$119+0*Costeo!$D$119+0*Costeo!$E$119)&lt;=1000),0,IF(($A139*Costeo!$B$120+0*Costeo!$C$120+0*Costeo!$D$120+0*Costeo!$E$120)&lt;=10000000,20,IF(($A139*Costeo!$B$120+0*Costeo!$C$120+0*Costeo!$D$120+0*Costeo!$E$120)&lt;=50000000,100,300)))+MAX(0,ROUNDUP(($A139*Costeo!$B$36+0*Costeo!$C$36+0*Costeo!$D$36+0*Costeo!$E$36)/5000,0)-1)*Costeo!$B$62+IF(($A139*Costeo!$B$36+0*Costeo!$C$36+0*Costeo!$D$36+0*Costeo!$E$36)&gt;5000,32-Costeo!$B$61,0))*Costeo!$B$51,2))))&gt;=0),$A139,1000000000)</f>
        <v>88</v>
      </c>
      <c r="C139" s="121">
        <f>IF(AND($A139*Costeo!$C$36&lt;=10000,(($A139)*$D$10-$B$4-((ROUND((MAX(0,(0*Costeo!$B$117+$A139*Costeo!$C$117+0*Costeo!$D$117+0*Costeo!$E$117)-100)*Costeo!$B$53+MAX(0,(0*Costeo!$B$118+$A139*Costeo!$C$118+0*Costeo!$D$118+0*Costeo!$E$118)-250)*Costeo!$B$52+(MAX(0,ROUNDUP(((0*Costeo!$B$116+$A139*Costeo!$C$116)+(0*Costeo!$D$116+0*Costeo!$E$116)*0.05)*2,0)-8)+(0*Costeo!$B$131+$A139*Costeo!$C$131+0*Costeo!$D$131+0*Costeo!$E$131))*Costeo!$B$54+IF((0*Costeo!$B$36+$A139*Costeo!$C$36)&lt;=2000,10,IF((0*Costeo!$B$36+$A139*Costeo!$C$36)&lt;=5000,15,IF((0*Costeo!$B$36+$A139*Costeo!$C$36)&lt;=10000,60,110)))-10)*Costeo!$B$51,2))+(ROUND((MAX(0,(0*Costeo!$B$130+$A139*Costeo!$C$130+0*Costeo!$D$130+0*Costeo!$E$130)+20*2*2*Costeo!$B$69+30*(1/3600*Costeo!$B$55+5/3600*Costeo!$B$56)-Costeo!$B$58)+IF(AND((0*Costeo!$B$120+$A139*Costeo!$C$120+0*Costeo!$D$120+0*Costeo!$E$120)&lt;=1000000,(0*Costeo!$B$119+$A139*Costeo!$C$119+0*Costeo!$D$119+0*Costeo!$E$119)&lt;=1000),0,IF((0*Costeo!$B$120+$A139*Costeo!$C$120+0*Costeo!$D$120+0*Costeo!$E$120)&lt;=10000000,20,IF((0*Costeo!$B$120+$A139*Costeo!$C$120+0*Costeo!$D$120+0*Costeo!$E$120)&lt;=50000000,100,300)))+MAX(0,ROUNDUP((0*Costeo!$B$36+$A139*Costeo!$C$36+0*Costeo!$D$36+0*Costeo!$E$36)/5000,0)-1)*Costeo!$B$62+IF((0*Costeo!$B$36+$A139*Costeo!$C$36+0*Costeo!$D$36+0*Costeo!$E$36)&gt;5000,32-Costeo!$B$61,0))*Costeo!$B$51,2))))&gt;=0),$A139,1000000000)</f>
        <v>1000000000</v>
      </c>
      <c r="D139" s="121">
        <f>IF(AND($A139*Costeo!$D$36&lt;=10000,(($A139)*$D$11-$B$4-((ROUND((MAX(0,(0*Costeo!$B$117+0*Costeo!$C$117+$A139*Costeo!$D$117+0*Costeo!$E$117)-100)*Costeo!$B$53+MAX(0,(0*Costeo!$B$118+0*Costeo!$C$118+$A139*Costeo!$D$118+0*Costeo!$E$118)-250)*Costeo!$B$52+(MAX(0,ROUNDUP(((0*Costeo!$B$116+0*Costeo!$C$116)+($A139*Costeo!$D$116+0*Costeo!$E$116)*0.05)*2,0)-8)+(0*Costeo!$B$131+0*Costeo!$C$131+$A139*Costeo!$D$131+0*Costeo!$E$131))*Costeo!$B$54+IF((0*Costeo!$B$36+0*Costeo!$C$36)&lt;=2000,10,IF((0*Costeo!$B$36+0*Costeo!$C$36)&lt;=5000,15,IF((0*Costeo!$B$36+0*Costeo!$C$36)&lt;=10000,60,110)))-10)*Costeo!$B$51,2))+(ROUND((MAX(0,(0*Costeo!$B$130+0*Costeo!$C$130+$A139*Costeo!$D$130+0*Costeo!$E$130)+20*2*2*Costeo!$B$69+30*(1/3600*Costeo!$B$55+5/3600*Costeo!$B$56)-Costeo!$B$58)+IF(AND((0*Costeo!$B$120+0*Costeo!$C$120+$A139*Costeo!$D$120+0*Costeo!$E$120)&lt;=1000000,(0*Costeo!$B$119+0*Costeo!$C$119+$A139*Costeo!$D$119+0*Costeo!$E$119)&lt;=1000),0,IF((0*Costeo!$B$120+0*Costeo!$C$120+$A139*Costeo!$D$120+0*Costeo!$E$120)&lt;=10000000,20,IF((0*Costeo!$B$120+0*Costeo!$C$120+$A139*Costeo!$D$120+0*Costeo!$E$120)&lt;=50000000,100,300)))+MAX(0,ROUNDUP((0*Costeo!$B$36+0*Costeo!$C$36+$A139*Costeo!$D$36+0*Costeo!$E$36)/5000,0)-1)*Costeo!$B$62+IF((0*Costeo!$B$36+0*Costeo!$C$36+$A139*Costeo!$D$36+0*Costeo!$E$36)&gt;5000,32-Costeo!$B$61,0))*Costeo!$B$51,2))))&gt;=0),$A139,1000000000)</f>
        <v>1000000000</v>
      </c>
      <c r="E139" s="121">
        <f>IF(AND($A139*Costeo!$E$36&lt;=10000,(($A139)*$D$12-$B$4-((ROUND((MAX(0,(0*Costeo!$B$117+0*Costeo!$C$117+0*Costeo!$D$117+$A139*Costeo!$E$117)-100)*Costeo!$B$53+MAX(0,(0*Costeo!$B$118+0*Costeo!$C$118+0*Costeo!$D$118+$A139*Costeo!$E$118)-250)*Costeo!$B$52+(MAX(0,ROUNDUP(((0*Costeo!$B$116+0*Costeo!$C$116)+(0*Costeo!$D$116+$A139*Costeo!$E$116)*0.05)*2,0)-8)+(0*Costeo!$B$131+0*Costeo!$C$131+0*Costeo!$D$131+$A139*Costeo!$E$131))*Costeo!$B$54+IF((0*Costeo!$B$36+0*Costeo!$C$36)&lt;=2000,10,IF((0*Costeo!$B$36+0*Costeo!$C$36)&lt;=5000,15,IF((0*Costeo!$B$36+0*Costeo!$C$36)&lt;=10000,60,110)))-10)*Costeo!$B$51,2))+(ROUND((MAX(0,(0*Costeo!$B$130+0*Costeo!$C$130+0*Costeo!$D$130+$A139*Costeo!$E$130)+20*2*2*Costeo!$B$69+30*(1/3600*Costeo!$B$55+5/3600*Costeo!$B$56)-Costeo!$B$58)+IF(AND((0*Costeo!$B$120+0*Costeo!$C$120+0*Costeo!$D$120+$A139*Costeo!$E$120)&lt;=1000000,(0*Costeo!$B$119+0*Costeo!$C$119+0*Costeo!$D$119+$A139*Costeo!$E$119)&lt;=1000),0,IF((0*Costeo!$B$120+0*Costeo!$C$120+0*Costeo!$D$120+$A139*Costeo!$E$120)&lt;=10000000,20,IF((0*Costeo!$B$120+0*Costeo!$C$120+0*Costeo!$D$120+$A139*Costeo!$E$120)&lt;=50000000,100,300)))+MAX(0,ROUNDUP((0*Costeo!$B$36+0*Costeo!$C$36+0*Costeo!$D$36+$A139*Costeo!$E$36)/5000,0)-1)*Costeo!$B$62+IF((0*Costeo!$B$36+0*Costeo!$C$36+0*Costeo!$D$36+$A139*Costeo!$E$36)&gt;5000,32-Costeo!$B$61,0))*Costeo!$B$51,2))))&gt;=0),$A139,1000000000)</f>
        <v>1000000000</v>
      </c>
    </row>
    <row r="140" hidden="1" outlineLevel="1" ht="30" customHeight="1" s="61">
      <c r="A140" s="52" t="n">
        <v>89</v>
      </c>
      <c r="B140" s="121">
        <f>IF(AND($A140*Costeo!$B$36&lt;=10000,(($A140)*$D$9-$B$4-((ROUND((MAX(0,($A140*Costeo!$B$117+0*Costeo!$C$117+0*Costeo!$D$117+0*Costeo!$E$117)-100)*Costeo!$B$53+MAX(0,($A140*Costeo!$B$118+0*Costeo!$C$118+0*Costeo!$D$118+0*Costeo!$E$118)-250)*Costeo!$B$52+(MAX(0,ROUNDUP((($A140*Costeo!$B$116+0*Costeo!$C$116)+(0*Costeo!$D$116+0*Costeo!$E$116)*0.05)*2,0)-8)+($A140*Costeo!$B$131+0*Costeo!$C$131+0*Costeo!$D$131+0*Costeo!$E$131))*Costeo!$B$54+IF(($A140*Costeo!$B$36+0*Costeo!$C$36)&lt;=2000,10,IF(($A140*Costeo!$B$36+0*Costeo!$C$36)&lt;=5000,15,IF(($A140*Costeo!$B$36+0*Costeo!$C$36)&lt;=10000,60,110)))-10)*Costeo!$B$51,2))+(ROUND((MAX(0,($A140*Costeo!$B$130+0*Costeo!$C$130+0*Costeo!$D$130+0*Costeo!$E$130)+20*2*2*Costeo!$B$69+30*(1/3600*Costeo!$B$55+5/3600*Costeo!$B$56)-Costeo!$B$58)+IF(AND(($A140*Costeo!$B$120+0*Costeo!$C$120+0*Costeo!$D$120+0*Costeo!$E$120)&lt;=1000000,($A140*Costeo!$B$119+0*Costeo!$C$119+0*Costeo!$D$119+0*Costeo!$E$119)&lt;=1000),0,IF(($A140*Costeo!$B$120+0*Costeo!$C$120+0*Costeo!$D$120+0*Costeo!$E$120)&lt;=10000000,20,IF(($A140*Costeo!$B$120+0*Costeo!$C$120+0*Costeo!$D$120+0*Costeo!$E$120)&lt;=50000000,100,300)))+MAX(0,ROUNDUP(($A140*Costeo!$B$36+0*Costeo!$C$36+0*Costeo!$D$36+0*Costeo!$E$36)/5000,0)-1)*Costeo!$B$62+IF(($A140*Costeo!$B$36+0*Costeo!$C$36+0*Costeo!$D$36+0*Costeo!$E$36)&gt;5000,32-Costeo!$B$61,0))*Costeo!$B$51,2))))&gt;=0),$A140,1000000000)</f>
        <v>89</v>
      </c>
      <c r="C140" s="121">
        <f>IF(AND($A140*Costeo!$C$36&lt;=10000,(($A140)*$D$10-$B$4-((ROUND((MAX(0,(0*Costeo!$B$117+$A140*Costeo!$C$117+0*Costeo!$D$117+0*Costeo!$E$117)-100)*Costeo!$B$53+MAX(0,(0*Costeo!$B$118+$A140*Costeo!$C$118+0*Costeo!$D$118+0*Costeo!$E$118)-250)*Costeo!$B$52+(MAX(0,ROUNDUP(((0*Costeo!$B$116+$A140*Costeo!$C$116)+(0*Costeo!$D$116+0*Costeo!$E$116)*0.05)*2,0)-8)+(0*Costeo!$B$131+$A140*Costeo!$C$131+0*Costeo!$D$131+0*Costeo!$E$131))*Costeo!$B$54+IF((0*Costeo!$B$36+$A140*Costeo!$C$36)&lt;=2000,10,IF((0*Costeo!$B$36+$A140*Costeo!$C$36)&lt;=5000,15,IF((0*Costeo!$B$36+$A140*Costeo!$C$36)&lt;=10000,60,110)))-10)*Costeo!$B$51,2))+(ROUND((MAX(0,(0*Costeo!$B$130+$A140*Costeo!$C$130+0*Costeo!$D$130+0*Costeo!$E$130)+20*2*2*Costeo!$B$69+30*(1/3600*Costeo!$B$55+5/3600*Costeo!$B$56)-Costeo!$B$58)+IF(AND((0*Costeo!$B$120+$A140*Costeo!$C$120+0*Costeo!$D$120+0*Costeo!$E$120)&lt;=1000000,(0*Costeo!$B$119+$A140*Costeo!$C$119+0*Costeo!$D$119+0*Costeo!$E$119)&lt;=1000),0,IF((0*Costeo!$B$120+$A140*Costeo!$C$120+0*Costeo!$D$120+0*Costeo!$E$120)&lt;=10000000,20,IF((0*Costeo!$B$120+$A140*Costeo!$C$120+0*Costeo!$D$120+0*Costeo!$E$120)&lt;=50000000,100,300)))+MAX(0,ROUNDUP((0*Costeo!$B$36+$A140*Costeo!$C$36+0*Costeo!$D$36+0*Costeo!$E$36)/5000,0)-1)*Costeo!$B$62+IF((0*Costeo!$B$36+$A140*Costeo!$C$36+0*Costeo!$D$36+0*Costeo!$E$36)&gt;5000,32-Costeo!$B$61,0))*Costeo!$B$51,2))))&gt;=0),$A140,1000000000)</f>
        <v>1000000000</v>
      </c>
      <c r="D140" s="121">
        <f>IF(AND($A140*Costeo!$D$36&lt;=10000,(($A140)*$D$11-$B$4-((ROUND((MAX(0,(0*Costeo!$B$117+0*Costeo!$C$117+$A140*Costeo!$D$117+0*Costeo!$E$117)-100)*Costeo!$B$53+MAX(0,(0*Costeo!$B$118+0*Costeo!$C$118+$A140*Costeo!$D$118+0*Costeo!$E$118)-250)*Costeo!$B$52+(MAX(0,ROUNDUP(((0*Costeo!$B$116+0*Costeo!$C$116)+($A140*Costeo!$D$116+0*Costeo!$E$116)*0.05)*2,0)-8)+(0*Costeo!$B$131+0*Costeo!$C$131+$A140*Costeo!$D$131+0*Costeo!$E$131))*Costeo!$B$54+IF((0*Costeo!$B$36+0*Costeo!$C$36)&lt;=2000,10,IF((0*Costeo!$B$36+0*Costeo!$C$36)&lt;=5000,15,IF((0*Costeo!$B$36+0*Costeo!$C$36)&lt;=10000,60,110)))-10)*Costeo!$B$51,2))+(ROUND((MAX(0,(0*Costeo!$B$130+0*Costeo!$C$130+$A140*Costeo!$D$130+0*Costeo!$E$130)+20*2*2*Costeo!$B$69+30*(1/3600*Costeo!$B$55+5/3600*Costeo!$B$56)-Costeo!$B$58)+IF(AND((0*Costeo!$B$120+0*Costeo!$C$120+$A140*Costeo!$D$120+0*Costeo!$E$120)&lt;=1000000,(0*Costeo!$B$119+0*Costeo!$C$119+$A140*Costeo!$D$119+0*Costeo!$E$119)&lt;=1000),0,IF((0*Costeo!$B$120+0*Costeo!$C$120+$A140*Costeo!$D$120+0*Costeo!$E$120)&lt;=10000000,20,IF((0*Costeo!$B$120+0*Costeo!$C$120+$A140*Costeo!$D$120+0*Costeo!$E$120)&lt;=50000000,100,300)))+MAX(0,ROUNDUP((0*Costeo!$B$36+0*Costeo!$C$36+$A140*Costeo!$D$36+0*Costeo!$E$36)/5000,0)-1)*Costeo!$B$62+IF((0*Costeo!$B$36+0*Costeo!$C$36+$A140*Costeo!$D$36+0*Costeo!$E$36)&gt;5000,32-Costeo!$B$61,0))*Costeo!$B$51,2))))&gt;=0),$A140,1000000000)</f>
        <v>1000000000</v>
      </c>
      <c r="E140" s="121">
        <f>IF(AND($A140*Costeo!$E$36&lt;=10000,(($A140)*$D$12-$B$4-((ROUND((MAX(0,(0*Costeo!$B$117+0*Costeo!$C$117+0*Costeo!$D$117+$A140*Costeo!$E$117)-100)*Costeo!$B$53+MAX(0,(0*Costeo!$B$118+0*Costeo!$C$118+0*Costeo!$D$118+$A140*Costeo!$E$118)-250)*Costeo!$B$52+(MAX(0,ROUNDUP(((0*Costeo!$B$116+0*Costeo!$C$116)+(0*Costeo!$D$116+$A140*Costeo!$E$116)*0.05)*2,0)-8)+(0*Costeo!$B$131+0*Costeo!$C$131+0*Costeo!$D$131+$A140*Costeo!$E$131))*Costeo!$B$54+IF((0*Costeo!$B$36+0*Costeo!$C$36)&lt;=2000,10,IF((0*Costeo!$B$36+0*Costeo!$C$36)&lt;=5000,15,IF((0*Costeo!$B$36+0*Costeo!$C$36)&lt;=10000,60,110)))-10)*Costeo!$B$51,2))+(ROUND((MAX(0,(0*Costeo!$B$130+0*Costeo!$C$130+0*Costeo!$D$130+$A140*Costeo!$E$130)+20*2*2*Costeo!$B$69+30*(1/3600*Costeo!$B$55+5/3600*Costeo!$B$56)-Costeo!$B$58)+IF(AND((0*Costeo!$B$120+0*Costeo!$C$120+0*Costeo!$D$120+$A140*Costeo!$E$120)&lt;=1000000,(0*Costeo!$B$119+0*Costeo!$C$119+0*Costeo!$D$119+$A140*Costeo!$E$119)&lt;=1000),0,IF((0*Costeo!$B$120+0*Costeo!$C$120+0*Costeo!$D$120+$A140*Costeo!$E$120)&lt;=10000000,20,IF((0*Costeo!$B$120+0*Costeo!$C$120+0*Costeo!$D$120+$A140*Costeo!$E$120)&lt;=50000000,100,300)))+MAX(0,ROUNDUP((0*Costeo!$B$36+0*Costeo!$C$36+0*Costeo!$D$36+$A140*Costeo!$E$36)/5000,0)-1)*Costeo!$B$62+IF((0*Costeo!$B$36+0*Costeo!$C$36+0*Costeo!$D$36+$A140*Costeo!$E$36)&gt;5000,32-Costeo!$B$61,0))*Costeo!$B$51,2))))&gt;=0),$A140,1000000000)</f>
        <v>1000000000</v>
      </c>
    </row>
    <row r="141" hidden="1" outlineLevel="1" ht="30" customHeight="1" s="61">
      <c r="A141" s="52" t="n">
        <v>90</v>
      </c>
      <c r="B141" s="121">
        <f>IF(AND($A141*Costeo!$B$36&lt;=10000,(($A141)*$D$9-$B$4-((ROUND((MAX(0,($A141*Costeo!$B$117+0*Costeo!$C$117+0*Costeo!$D$117+0*Costeo!$E$117)-100)*Costeo!$B$53+MAX(0,($A141*Costeo!$B$118+0*Costeo!$C$118+0*Costeo!$D$118+0*Costeo!$E$118)-250)*Costeo!$B$52+(MAX(0,ROUNDUP((($A141*Costeo!$B$116+0*Costeo!$C$116)+(0*Costeo!$D$116+0*Costeo!$E$116)*0.05)*2,0)-8)+($A141*Costeo!$B$131+0*Costeo!$C$131+0*Costeo!$D$131+0*Costeo!$E$131))*Costeo!$B$54+IF(($A141*Costeo!$B$36+0*Costeo!$C$36)&lt;=2000,10,IF(($A141*Costeo!$B$36+0*Costeo!$C$36)&lt;=5000,15,IF(($A141*Costeo!$B$36+0*Costeo!$C$36)&lt;=10000,60,110)))-10)*Costeo!$B$51,2))+(ROUND((MAX(0,($A141*Costeo!$B$130+0*Costeo!$C$130+0*Costeo!$D$130+0*Costeo!$E$130)+20*2*2*Costeo!$B$69+30*(1/3600*Costeo!$B$55+5/3600*Costeo!$B$56)-Costeo!$B$58)+IF(AND(($A141*Costeo!$B$120+0*Costeo!$C$120+0*Costeo!$D$120+0*Costeo!$E$120)&lt;=1000000,($A141*Costeo!$B$119+0*Costeo!$C$119+0*Costeo!$D$119+0*Costeo!$E$119)&lt;=1000),0,IF(($A141*Costeo!$B$120+0*Costeo!$C$120+0*Costeo!$D$120+0*Costeo!$E$120)&lt;=10000000,20,IF(($A141*Costeo!$B$120+0*Costeo!$C$120+0*Costeo!$D$120+0*Costeo!$E$120)&lt;=50000000,100,300)))+MAX(0,ROUNDUP(($A141*Costeo!$B$36+0*Costeo!$C$36+0*Costeo!$D$36+0*Costeo!$E$36)/5000,0)-1)*Costeo!$B$62+IF(($A141*Costeo!$B$36+0*Costeo!$C$36+0*Costeo!$D$36+0*Costeo!$E$36)&gt;5000,32-Costeo!$B$61,0))*Costeo!$B$51,2))))&gt;=0),$A141,1000000000)</f>
        <v>90</v>
      </c>
      <c r="C141" s="121">
        <f>IF(AND($A141*Costeo!$C$36&lt;=10000,(($A141)*$D$10-$B$4-((ROUND((MAX(0,(0*Costeo!$B$117+$A141*Costeo!$C$117+0*Costeo!$D$117+0*Costeo!$E$117)-100)*Costeo!$B$53+MAX(0,(0*Costeo!$B$118+$A141*Costeo!$C$118+0*Costeo!$D$118+0*Costeo!$E$118)-250)*Costeo!$B$52+(MAX(0,ROUNDUP(((0*Costeo!$B$116+$A141*Costeo!$C$116)+(0*Costeo!$D$116+0*Costeo!$E$116)*0.05)*2,0)-8)+(0*Costeo!$B$131+$A141*Costeo!$C$131+0*Costeo!$D$131+0*Costeo!$E$131))*Costeo!$B$54+IF((0*Costeo!$B$36+$A141*Costeo!$C$36)&lt;=2000,10,IF((0*Costeo!$B$36+$A141*Costeo!$C$36)&lt;=5000,15,IF((0*Costeo!$B$36+$A141*Costeo!$C$36)&lt;=10000,60,110)))-10)*Costeo!$B$51,2))+(ROUND((MAX(0,(0*Costeo!$B$130+$A141*Costeo!$C$130+0*Costeo!$D$130+0*Costeo!$E$130)+20*2*2*Costeo!$B$69+30*(1/3600*Costeo!$B$55+5/3600*Costeo!$B$56)-Costeo!$B$58)+IF(AND((0*Costeo!$B$120+$A141*Costeo!$C$120+0*Costeo!$D$120+0*Costeo!$E$120)&lt;=1000000,(0*Costeo!$B$119+$A141*Costeo!$C$119+0*Costeo!$D$119+0*Costeo!$E$119)&lt;=1000),0,IF((0*Costeo!$B$120+$A141*Costeo!$C$120+0*Costeo!$D$120+0*Costeo!$E$120)&lt;=10000000,20,IF((0*Costeo!$B$120+$A141*Costeo!$C$120+0*Costeo!$D$120+0*Costeo!$E$120)&lt;=50000000,100,300)))+MAX(0,ROUNDUP((0*Costeo!$B$36+$A141*Costeo!$C$36+0*Costeo!$D$36+0*Costeo!$E$36)/5000,0)-1)*Costeo!$B$62+IF((0*Costeo!$B$36+$A141*Costeo!$C$36+0*Costeo!$D$36+0*Costeo!$E$36)&gt;5000,32-Costeo!$B$61,0))*Costeo!$B$51,2))))&gt;=0),$A141,1000000000)</f>
        <v>1000000000</v>
      </c>
      <c r="D141" s="121">
        <f>IF(AND($A141*Costeo!$D$36&lt;=10000,(($A141)*$D$11-$B$4-((ROUND((MAX(0,(0*Costeo!$B$117+0*Costeo!$C$117+$A141*Costeo!$D$117+0*Costeo!$E$117)-100)*Costeo!$B$53+MAX(0,(0*Costeo!$B$118+0*Costeo!$C$118+$A141*Costeo!$D$118+0*Costeo!$E$118)-250)*Costeo!$B$52+(MAX(0,ROUNDUP(((0*Costeo!$B$116+0*Costeo!$C$116)+($A141*Costeo!$D$116+0*Costeo!$E$116)*0.05)*2,0)-8)+(0*Costeo!$B$131+0*Costeo!$C$131+$A141*Costeo!$D$131+0*Costeo!$E$131))*Costeo!$B$54+IF((0*Costeo!$B$36+0*Costeo!$C$36)&lt;=2000,10,IF((0*Costeo!$B$36+0*Costeo!$C$36)&lt;=5000,15,IF((0*Costeo!$B$36+0*Costeo!$C$36)&lt;=10000,60,110)))-10)*Costeo!$B$51,2))+(ROUND((MAX(0,(0*Costeo!$B$130+0*Costeo!$C$130+$A141*Costeo!$D$130+0*Costeo!$E$130)+20*2*2*Costeo!$B$69+30*(1/3600*Costeo!$B$55+5/3600*Costeo!$B$56)-Costeo!$B$58)+IF(AND((0*Costeo!$B$120+0*Costeo!$C$120+$A141*Costeo!$D$120+0*Costeo!$E$120)&lt;=1000000,(0*Costeo!$B$119+0*Costeo!$C$119+$A141*Costeo!$D$119+0*Costeo!$E$119)&lt;=1000),0,IF((0*Costeo!$B$120+0*Costeo!$C$120+$A141*Costeo!$D$120+0*Costeo!$E$120)&lt;=10000000,20,IF((0*Costeo!$B$120+0*Costeo!$C$120+$A141*Costeo!$D$120+0*Costeo!$E$120)&lt;=50000000,100,300)))+MAX(0,ROUNDUP((0*Costeo!$B$36+0*Costeo!$C$36+$A141*Costeo!$D$36+0*Costeo!$E$36)/5000,0)-1)*Costeo!$B$62+IF((0*Costeo!$B$36+0*Costeo!$C$36+$A141*Costeo!$D$36+0*Costeo!$E$36)&gt;5000,32-Costeo!$B$61,0))*Costeo!$B$51,2))))&gt;=0),$A141,1000000000)</f>
        <v>1000000000</v>
      </c>
      <c r="E141" s="121">
        <f>IF(AND($A141*Costeo!$E$36&lt;=10000,(($A141)*$D$12-$B$4-((ROUND((MAX(0,(0*Costeo!$B$117+0*Costeo!$C$117+0*Costeo!$D$117+$A141*Costeo!$E$117)-100)*Costeo!$B$53+MAX(0,(0*Costeo!$B$118+0*Costeo!$C$118+0*Costeo!$D$118+$A141*Costeo!$E$118)-250)*Costeo!$B$52+(MAX(0,ROUNDUP(((0*Costeo!$B$116+0*Costeo!$C$116)+(0*Costeo!$D$116+$A141*Costeo!$E$116)*0.05)*2,0)-8)+(0*Costeo!$B$131+0*Costeo!$C$131+0*Costeo!$D$131+$A141*Costeo!$E$131))*Costeo!$B$54+IF((0*Costeo!$B$36+0*Costeo!$C$36)&lt;=2000,10,IF((0*Costeo!$B$36+0*Costeo!$C$36)&lt;=5000,15,IF((0*Costeo!$B$36+0*Costeo!$C$36)&lt;=10000,60,110)))-10)*Costeo!$B$51,2))+(ROUND((MAX(0,(0*Costeo!$B$130+0*Costeo!$C$130+0*Costeo!$D$130+$A141*Costeo!$E$130)+20*2*2*Costeo!$B$69+30*(1/3600*Costeo!$B$55+5/3600*Costeo!$B$56)-Costeo!$B$58)+IF(AND((0*Costeo!$B$120+0*Costeo!$C$120+0*Costeo!$D$120+$A141*Costeo!$E$120)&lt;=1000000,(0*Costeo!$B$119+0*Costeo!$C$119+0*Costeo!$D$119+$A141*Costeo!$E$119)&lt;=1000),0,IF((0*Costeo!$B$120+0*Costeo!$C$120+0*Costeo!$D$120+$A141*Costeo!$E$120)&lt;=10000000,20,IF((0*Costeo!$B$120+0*Costeo!$C$120+0*Costeo!$D$120+$A141*Costeo!$E$120)&lt;=50000000,100,300)))+MAX(0,ROUNDUP((0*Costeo!$B$36+0*Costeo!$C$36+0*Costeo!$D$36+$A141*Costeo!$E$36)/5000,0)-1)*Costeo!$B$62+IF((0*Costeo!$B$36+0*Costeo!$C$36+0*Costeo!$D$36+$A141*Costeo!$E$36)&gt;5000,32-Costeo!$B$61,0))*Costeo!$B$51,2))))&gt;=0),$A141,1000000000)</f>
        <v>1000000000</v>
      </c>
    </row>
    <row r="142" hidden="1" outlineLevel="1" ht="30" customHeight="1" s="61">
      <c r="A142" s="52" t="n">
        <v>91</v>
      </c>
      <c r="B142" s="121">
        <f>IF(AND($A142*Costeo!$B$36&lt;=10000,(($A142)*$D$9-$B$4-((ROUND((MAX(0,($A142*Costeo!$B$117+0*Costeo!$C$117+0*Costeo!$D$117+0*Costeo!$E$117)-100)*Costeo!$B$53+MAX(0,($A142*Costeo!$B$118+0*Costeo!$C$118+0*Costeo!$D$118+0*Costeo!$E$118)-250)*Costeo!$B$52+(MAX(0,ROUNDUP((($A142*Costeo!$B$116+0*Costeo!$C$116)+(0*Costeo!$D$116+0*Costeo!$E$116)*0.05)*2,0)-8)+($A142*Costeo!$B$131+0*Costeo!$C$131+0*Costeo!$D$131+0*Costeo!$E$131))*Costeo!$B$54+IF(($A142*Costeo!$B$36+0*Costeo!$C$36)&lt;=2000,10,IF(($A142*Costeo!$B$36+0*Costeo!$C$36)&lt;=5000,15,IF(($A142*Costeo!$B$36+0*Costeo!$C$36)&lt;=10000,60,110)))-10)*Costeo!$B$51,2))+(ROUND((MAX(0,($A142*Costeo!$B$130+0*Costeo!$C$130+0*Costeo!$D$130+0*Costeo!$E$130)+20*2*2*Costeo!$B$69+30*(1/3600*Costeo!$B$55+5/3600*Costeo!$B$56)-Costeo!$B$58)+IF(AND(($A142*Costeo!$B$120+0*Costeo!$C$120+0*Costeo!$D$120+0*Costeo!$E$120)&lt;=1000000,($A142*Costeo!$B$119+0*Costeo!$C$119+0*Costeo!$D$119+0*Costeo!$E$119)&lt;=1000),0,IF(($A142*Costeo!$B$120+0*Costeo!$C$120+0*Costeo!$D$120+0*Costeo!$E$120)&lt;=10000000,20,IF(($A142*Costeo!$B$120+0*Costeo!$C$120+0*Costeo!$D$120+0*Costeo!$E$120)&lt;=50000000,100,300)))+MAX(0,ROUNDUP(($A142*Costeo!$B$36+0*Costeo!$C$36+0*Costeo!$D$36+0*Costeo!$E$36)/5000,0)-1)*Costeo!$B$62+IF(($A142*Costeo!$B$36+0*Costeo!$C$36+0*Costeo!$D$36+0*Costeo!$E$36)&gt;5000,32-Costeo!$B$61,0))*Costeo!$B$51,2))))&gt;=0),$A142,1000000000)</f>
        <v>91</v>
      </c>
      <c r="C142" s="121">
        <f>IF(AND($A142*Costeo!$C$36&lt;=10000,(($A142)*$D$10-$B$4-((ROUND((MAX(0,(0*Costeo!$B$117+$A142*Costeo!$C$117+0*Costeo!$D$117+0*Costeo!$E$117)-100)*Costeo!$B$53+MAX(0,(0*Costeo!$B$118+$A142*Costeo!$C$118+0*Costeo!$D$118+0*Costeo!$E$118)-250)*Costeo!$B$52+(MAX(0,ROUNDUP(((0*Costeo!$B$116+$A142*Costeo!$C$116)+(0*Costeo!$D$116+0*Costeo!$E$116)*0.05)*2,0)-8)+(0*Costeo!$B$131+$A142*Costeo!$C$131+0*Costeo!$D$131+0*Costeo!$E$131))*Costeo!$B$54+IF((0*Costeo!$B$36+$A142*Costeo!$C$36)&lt;=2000,10,IF((0*Costeo!$B$36+$A142*Costeo!$C$36)&lt;=5000,15,IF((0*Costeo!$B$36+$A142*Costeo!$C$36)&lt;=10000,60,110)))-10)*Costeo!$B$51,2))+(ROUND((MAX(0,(0*Costeo!$B$130+$A142*Costeo!$C$130+0*Costeo!$D$130+0*Costeo!$E$130)+20*2*2*Costeo!$B$69+30*(1/3600*Costeo!$B$55+5/3600*Costeo!$B$56)-Costeo!$B$58)+IF(AND((0*Costeo!$B$120+$A142*Costeo!$C$120+0*Costeo!$D$120+0*Costeo!$E$120)&lt;=1000000,(0*Costeo!$B$119+$A142*Costeo!$C$119+0*Costeo!$D$119+0*Costeo!$E$119)&lt;=1000),0,IF((0*Costeo!$B$120+$A142*Costeo!$C$120+0*Costeo!$D$120+0*Costeo!$E$120)&lt;=10000000,20,IF((0*Costeo!$B$120+$A142*Costeo!$C$120+0*Costeo!$D$120+0*Costeo!$E$120)&lt;=50000000,100,300)))+MAX(0,ROUNDUP((0*Costeo!$B$36+$A142*Costeo!$C$36+0*Costeo!$D$36+0*Costeo!$E$36)/5000,0)-1)*Costeo!$B$62+IF((0*Costeo!$B$36+$A142*Costeo!$C$36+0*Costeo!$D$36+0*Costeo!$E$36)&gt;5000,32-Costeo!$B$61,0))*Costeo!$B$51,2))))&gt;=0),$A142,1000000000)</f>
        <v>1000000000</v>
      </c>
      <c r="D142" s="121">
        <f>IF(AND($A142*Costeo!$D$36&lt;=10000,(($A142)*$D$11-$B$4-((ROUND((MAX(0,(0*Costeo!$B$117+0*Costeo!$C$117+$A142*Costeo!$D$117+0*Costeo!$E$117)-100)*Costeo!$B$53+MAX(0,(0*Costeo!$B$118+0*Costeo!$C$118+$A142*Costeo!$D$118+0*Costeo!$E$118)-250)*Costeo!$B$52+(MAX(0,ROUNDUP(((0*Costeo!$B$116+0*Costeo!$C$116)+($A142*Costeo!$D$116+0*Costeo!$E$116)*0.05)*2,0)-8)+(0*Costeo!$B$131+0*Costeo!$C$131+$A142*Costeo!$D$131+0*Costeo!$E$131))*Costeo!$B$54+IF((0*Costeo!$B$36+0*Costeo!$C$36)&lt;=2000,10,IF((0*Costeo!$B$36+0*Costeo!$C$36)&lt;=5000,15,IF((0*Costeo!$B$36+0*Costeo!$C$36)&lt;=10000,60,110)))-10)*Costeo!$B$51,2))+(ROUND((MAX(0,(0*Costeo!$B$130+0*Costeo!$C$130+$A142*Costeo!$D$130+0*Costeo!$E$130)+20*2*2*Costeo!$B$69+30*(1/3600*Costeo!$B$55+5/3600*Costeo!$B$56)-Costeo!$B$58)+IF(AND((0*Costeo!$B$120+0*Costeo!$C$120+$A142*Costeo!$D$120+0*Costeo!$E$120)&lt;=1000000,(0*Costeo!$B$119+0*Costeo!$C$119+$A142*Costeo!$D$119+0*Costeo!$E$119)&lt;=1000),0,IF((0*Costeo!$B$120+0*Costeo!$C$120+$A142*Costeo!$D$120+0*Costeo!$E$120)&lt;=10000000,20,IF((0*Costeo!$B$120+0*Costeo!$C$120+$A142*Costeo!$D$120+0*Costeo!$E$120)&lt;=50000000,100,300)))+MAX(0,ROUNDUP((0*Costeo!$B$36+0*Costeo!$C$36+$A142*Costeo!$D$36+0*Costeo!$E$36)/5000,0)-1)*Costeo!$B$62+IF((0*Costeo!$B$36+0*Costeo!$C$36+$A142*Costeo!$D$36+0*Costeo!$E$36)&gt;5000,32-Costeo!$B$61,0))*Costeo!$B$51,2))))&gt;=0),$A142,1000000000)</f>
        <v>1000000000</v>
      </c>
      <c r="E142" s="121">
        <f>IF(AND($A142*Costeo!$E$36&lt;=10000,(($A142)*$D$12-$B$4-((ROUND((MAX(0,(0*Costeo!$B$117+0*Costeo!$C$117+0*Costeo!$D$117+$A142*Costeo!$E$117)-100)*Costeo!$B$53+MAX(0,(0*Costeo!$B$118+0*Costeo!$C$118+0*Costeo!$D$118+$A142*Costeo!$E$118)-250)*Costeo!$B$52+(MAX(0,ROUNDUP(((0*Costeo!$B$116+0*Costeo!$C$116)+(0*Costeo!$D$116+$A142*Costeo!$E$116)*0.05)*2,0)-8)+(0*Costeo!$B$131+0*Costeo!$C$131+0*Costeo!$D$131+$A142*Costeo!$E$131))*Costeo!$B$54+IF((0*Costeo!$B$36+0*Costeo!$C$36)&lt;=2000,10,IF((0*Costeo!$B$36+0*Costeo!$C$36)&lt;=5000,15,IF((0*Costeo!$B$36+0*Costeo!$C$36)&lt;=10000,60,110)))-10)*Costeo!$B$51,2))+(ROUND((MAX(0,(0*Costeo!$B$130+0*Costeo!$C$130+0*Costeo!$D$130+$A142*Costeo!$E$130)+20*2*2*Costeo!$B$69+30*(1/3600*Costeo!$B$55+5/3600*Costeo!$B$56)-Costeo!$B$58)+IF(AND((0*Costeo!$B$120+0*Costeo!$C$120+0*Costeo!$D$120+$A142*Costeo!$E$120)&lt;=1000000,(0*Costeo!$B$119+0*Costeo!$C$119+0*Costeo!$D$119+$A142*Costeo!$E$119)&lt;=1000),0,IF((0*Costeo!$B$120+0*Costeo!$C$120+0*Costeo!$D$120+$A142*Costeo!$E$120)&lt;=10000000,20,IF((0*Costeo!$B$120+0*Costeo!$C$120+0*Costeo!$D$120+$A142*Costeo!$E$120)&lt;=50000000,100,300)))+MAX(0,ROUNDUP((0*Costeo!$B$36+0*Costeo!$C$36+0*Costeo!$D$36+$A142*Costeo!$E$36)/5000,0)-1)*Costeo!$B$62+IF((0*Costeo!$B$36+0*Costeo!$C$36+0*Costeo!$D$36+$A142*Costeo!$E$36)&gt;5000,32-Costeo!$B$61,0))*Costeo!$B$51,2))))&gt;=0),$A142,1000000000)</f>
        <v>1000000000</v>
      </c>
    </row>
    <row r="143" hidden="1" outlineLevel="1" ht="30" customHeight="1" s="61">
      <c r="A143" s="52" t="n">
        <v>92</v>
      </c>
      <c r="B143" s="121">
        <f>IF(AND($A143*Costeo!$B$36&lt;=10000,(($A143)*$D$9-$B$4-((ROUND((MAX(0,($A143*Costeo!$B$117+0*Costeo!$C$117+0*Costeo!$D$117+0*Costeo!$E$117)-100)*Costeo!$B$53+MAX(0,($A143*Costeo!$B$118+0*Costeo!$C$118+0*Costeo!$D$118+0*Costeo!$E$118)-250)*Costeo!$B$52+(MAX(0,ROUNDUP((($A143*Costeo!$B$116+0*Costeo!$C$116)+(0*Costeo!$D$116+0*Costeo!$E$116)*0.05)*2,0)-8)+($A143*Costeo!$B$131+0*Costeo!$C$131+0*Costeo!$D$131+0*Costeo!$E$131))*Costeo!$B$54+IF(($A143*Costeo!$B$36+0*Costeo!$C$36)&lt;=2000,10,IF(($A143*Costeo!$B$36+0*Costeo!$C$36)&lt;=5000,15,IF(($A143*Costeo!$B$36+0*Costeo!$C$36)&lt;=10000,60,110)))-10)*Costeo!$B$51,2))+(ROUND((MAX(0,($A143*Costeo!$B$130+0*Costeo!$C$130+0*Costeo!$D$130+0*Costeo!$E$130)+20*2*2*Costeo!$B$69+30*(1/3600*Costeo!$B$55+5/3600*Costeo!$B$56)-Costeo!$B$58)+IF(AND(($A143*Costeo!$B$120+0*Costeo!$C$120+0*Costeo!$D$120+0*Costeo!$E$120)&lt;=1000000,($A143*Costeo!$B$119+0*Costeo!$C$119+0*Costeo!$D$119+0*Costeo!$E$119)&lt;=1000),0,IF(($A143*Costeo!$B$120+0*Costeo!$C$120+0*Costeo!$D$120+0*Costeo!$E$120)&lt;=10000000,20,IF(($A143*Costeo!$B$120+0*Costeo!$C$120+0*Costeo!$D$120+0*Costeo!$E$120)&lt;=50000000,100,300)))+MAX(0,ROUNDUP(($A143*Costeo!$B$36+0*Costeo!$C$36+0*Costeo!$D$36+0*Costeo!$E$36)/5000,0)-1)*Costeo!$B$62+IF(($A143*Costeo!$B$36+0*Costeo!$C$36+0*Costeo!$D$36+0*Costeo!$E$36)&gt;5000,32-Costeo!$B$61,0))*Costeo!$B$51,2))))&gt;=0),$A143,1000000000)</f>
        <v>92</v>
      </c>
      <c r="C143" s="121">
        <f>IF(AND($A143*Costeo!$C$36&lt;=10000,(($A143)*$D$10-$B$4-((ROUND((MAX(0,(0*Costeo!$B$117+$A143*Costeo!$C$117+0*Costeo!$D$117+0*Costeo!$E$117)-100)*Costeo!$B$53+MAX(0,(0*Costeo!$B$118+$A143*Costeo!$C$118+0*Costeo!$D$118+0*Costeo!$E$118)-250)*Costeo!$B$52+(MAX(0,ROUNDUP(((0*Costeo!$B$116+$A143*Costeo!$C$116)+(0*Costeo!$D$116+0*Costeo!$E$116)*0.05)*2,0)-8)+(0*Costeo!$B$131+$A143*Costeo!$C$131+0*Costeo!$D$131+0*Costeo!$E$131))*Costeo!$B$54+IF((0*Costeo!$B$36+$A143*Costeo!$C$36)&lt;=2000,10,IF((0*Costeo!$B$36+$A143*Costeo!$C$36)&lt;=5000,15,IF((0*Costeo!$B$36+$A143*Costeo!$C$36)&lt;=10000,60,110)))-10)*Costeo!$B$51,2))+(ROUND((MAX(0,(0*Costeo!$B$130+$A143*Costeo!$C$130+0*Costeo!$D$130+0*Costeo!$E$130)+20*2*2*Costeo!$B$69+30*(1/3600*Costeo!$B$55+5/3600*Costeo!$B$56)-Costeo!$B$58)+IF(AND((0*Costeo!$B$120+$A143*Costeo!$C$120+0*Costeo!$D$120+0*Costeo!$E$120)&lt;=1000000,(0*Costeo!$B$119+$A143*Costeo!$C$119+0*Costeo!$D$119+0*Costeo!$E$119)&lt;=1000),0,IF((0*Costeo!$B$120+$A143*Costeo!$C$120+0*Costeo!$D$120+0*Costeo!$E$120)&lt;=10000000,20,IF((0*Costeo!$B$120+$A143*Costeo!$C$120+0*Costeo!$D$120+0*Costeo!$E$120)&lt;=50000000,100,300)))+MAX(0,ROUNDUP((0*Costeo!$B$36+$A143*Costeo!$C$36+0*Costeo!$D$36+0*Costeo!$E$36)/5000,0)-1)*Costeo!$B$62+IF((0*Costeo!$B$36+$A143*Costeo!$C$36+0*Costeo!$D$36+0*Costeo!$E$36)&gt;5000,32-Costeo!$B$61,0))*Costeo!$B$51,2))))&gt;=0),$A143,1000000000)</f>
        <v>1000000000</v>
      </c>
      <c r="D143" s="121">
        <f>IF(AND($A143*Costeo!$D$36&lt;=10000,(($A143)*$D$11-$B$4-((ROUND((MAX(0,(0*Costeo!$B$117+0*Costeo!$C$117+$A143*Costeo!$D$117+0*Costeo!$E$117)-100)*Costeo!$B$53+MAX(0,(0*Costeo!$B$118+0*Costeo!$C$118+$A143*Costeo!$D$118+0*Costeo!$E$118)-250)*Costeo!$B$52+(MAX(0,ROUNDUP(((0*Costeo!$B$116+0*Costeo!$C$116)+($A143*Costeo!$D$116+0*Costeo!$E$116)*0.05)*2,0)-8)+(0*Costeo!$B$131+0*Costeo!$C$131+$A143*Costeo!$D$131+0*Costeo!$E$131))*Costeo!$B$54+IF((0*Costeo!$B$36+0*Costeo!$C$36)&lt;=2000,10,IF((0*Costeo!$B$36+0*Costeo!$C$36)&lt;=5000,15,IF((0*Costeo!$B$36+0*Costeo!$C$36)&lt;=10000,60,110)))-10)*Costeo!$B$51,2))+(ROUND((MAX(0,(0*Costeo!$B$130+0*Costeo!$C$130+$A143*Costeo!$D$130+0*Costeo!$E$130)+20*2*2*Costeo!$B$69+30*(1/3600*Costeo!$B$55+5/3600*Costeo!$B$56)-Costeo!$B$58)+IF(AND((0*Costeo!$B$120+0*Costeo!$C$120+$A143*Costeo!$D$120+0*Costeo!$E$120)&lt;=1000000,(0*Costeo!$B$119+0*Costeo!$C$119+$A143*Costeo!$D$119+0*Costeo!$E$119)&lt;=1000),0,IF((0*Costeo!$B$120+0*Costeo!$C$120+$A143*Costeo!$D$120+0*Costeo!$E$120)&lt;=10000000,20,IF((0*Costeo!$B$120+0*Costeo!$C$120+$A143*Costeo!$D$120+0*Costeo!$E$120)&lt;=50000000,100,300)))+MAX(0,ROUNDUP((0*Costeo!$B$36+0*Costeo!$C$36+$A143*Costeo!$D$36+0*Costeo!$E$36)/5000,0)-1)*Costeo!$B$62+IF((0*Costeo!$B$36+0*Costeo!$C$36+$A143*Costeo!$D$36+0*Costeo!$E$36)&gt;5000,32-Costeo!$B$61,0))*Costeo!$B$51,2))))&gt;=0),$A143,1000000000)</f>
        <v>1000000000</v>
      </c>
      <c r="E143" s="121">
        <f>IF(AND($A143*Costeo!$E$36&lt;=10000,(($A143)*$D$12-$B$4-((ROUND((MAX(0,(0*Costeo!$B$117+0*Costeo!$C$117+0*Costeo!$D$117+$A143*Costeo!$E$117)-100)*Costeo!$B$53+MAX(0,(0*Costeo!$B$118+0*Costeo!$C$118+0*Costeo!$D$118+$A143*Costeo!$E$118)-250)*Costeo!$B$52+(MAX(0,ROUNDUP(((0*Costeo!$B$116+0*Costeo!$C$116)+(0*Costeo!$D$116+$A143*Costeo!$E$116)*0.05)*2,0)-8)+(0*Costeo!$B$131+0*Costeo!$C$131+0*Costeo!$D$131+$A143*Costeo!$E$131))*Costeo!$B$54+IF((0*Costeo!$B$36+0*Costeo!$C$36)&lt;=2000,10,IF((0*Costeo!$B$36+0*Costeo!$C$36)&lt;=5000,15,IF((0*Costeo!$B$36+0*Costeo!$C$36)&lt;=10000,60,110)))-10)*Costeo!$B$51,2))+(ROUND((MAX(0,(0*Costeo!$B$130+0*Costeo!$C$130+0*Costeo!$D$130+$A143*Costeo!$E$130)+20*2*2*Costeo!$B$69+30*(1/3600*Costeo!$B$55+5/3600*Costeo!$B$56)-Costeo!$B$58)+IF(AND((0*Costeo!$B$120+0*Costeo!$C$120+0*Costeo!$D$120+$A143*Costeo!$E$120)&lt;=1000000,(0*Costeo!$B$119+0*Costeo!$C$119+0*Costeo!$D$119+$A143*Costeo!$E$119)&lt;=1000),0,IF((0*Costeo!$B$120+0*Costeo!$C$120+0*Costeo!$D$120+$A143*Costeo!$E$120)&lt;=10000000,20,IF((0*Costeo!$B$120+0*Costeo!$C$120+0*Costeo!$D$120+$A143*Costeo!$E$120)&lt;=50000000,100,300)))+MAX(0,ROUNDUP((0*Costeo!$B$36+0*Costeo!$C$36+0*Costeo!$D$36+$A143*Costeo!$E$36)/5000,0)-1)*Costeo!$B$62+IF((0*Costeo!$B$36+0*Costeo!$C$36+0*Costeo!$D$36+$A143*Costeo!$E$36)&gt;5000,32-Costeo!$B$61,0))*Costeo!$B$51,2))))&gt;=0),$A143,1000000000)</f>
        <v>1000000000</v>
      </c>
    </row>
    <row r="144" hidden="1" outlineLevel="1" ht="30" customHeight="1" s="61">
      <c r="A144" s="52" t="n">
        <v>93</v>
      </c>
      <c r="B144" s="121">
        <f>IF(AND($A144*Costeo!$B$36&lt;=10000,(($A144)*$D$9-$B$4-((ROUND((MAX(0,($A144*Costeo!$B$117+0*Costeo!$C$117+0*Costeo!$D$117+0*Costeo!$E$117)-100)*Costeo!$B$53+MAX(0,($A144*Costeo!$B$118+0*Costeo!$C$118+0*Costeo!$D$118+0*Costeo!$E$118)-250)*Costeo!$B$52+(MAX(0,ROUNDUP((($A144*Costeo!$B$116+0*Costeo!$C$116)+(0*Costeo!$D$116+0*Costeo!$E$116)*0.05)*2,0)-8)+($A144*Costeo!$B$131+0*Costeo!$C$131+0*Costeo!$D$131+0*Costeo!$E$131))*Costeo!$B$54+IF(($A144*Costeo!$B$36+0*Costeo!$C$36)&lt;=2000,10,IF(($A144*Costeo!$B$36+0*Costeo!$C$36)&lt;=5000,15,IF(($A144*Costeo!$B$36+0*Costeo!$C$36)&lt;=10000,60,110)))-10)*Costeo!$B$51,2))+(ROUND((MAX(0,($A144*Costeo!$B$130+0*Costeo!$C$130+0*Costeo!$D$130+0*Costeo!$E$130)+20*2*2*Costeo!$B$69+30*(1/3600*Costeo!$B$55+5/3600*Costeo!$B$56)-Costeo!$B$58)+IF(AND(($A144*Costeo!$B$120+0*Costeo!$C$120+0*Costeo!$D$120+0*Costeo!$E$120)&lt;=1000000,($A144*Costeo!$B$119+0*Costeo!$C$119+0*Costeo!$D$119+0*Costeo!$E$119)&lt;=1000),0,IF(($A144*Costeo!$B$120+0*Costeo!$C$120+0*Costeo!$D$120+0*Costeo!$E$120)&lt;=10000000,20,IF(($A144*Costeo!$B$120+0*Costeo!$C$120+0*Costeo!$D$120+0*Costeo!$E$120)&lt;=50000000,100,300)))+MAX(0,ROUNDUP(($A144*Costeo!$B$36+0*Costeo!$C$36+0*Costeo!$D$36+0*Costeo!$E$36)/5000,0)-1)*Costeo!$B$62+IF(($A144*Costeo!$B$36+0*Costeo!$C$36+0*Costeo!$D$36+0*Costeo!$E$36)&gt;5000,32-Costeo!$B$61,0))*Costeo!$B$51,2))))&gt;=0),$A144,1000000000)</f>
        <v>93</v>
      </c>
      <c r="C144" s="121">
        <f>IF(AND($A144*Costeo!$C$36&lt;=10000,(($A144)*$D$10-$B$4-((ROUND((MAX(0,(0*Costeo!$B$117+$A144*Costeo!$C$117+0*Costeo!$D$117+0*Costeo!$E$117)-100)*Costeo!$B$53+MAX(0,(0*Costeo!$B$118+$A144*Costeo!$C$118+0*Costeo!$D$118+0*Costeo!$E$118)-250)*Costeo!$B$52+(MAX(0,ROUNDUP(((0*Costeo!$B$116+$A144*Costeo!$C$116)+(0*Costeo!$D$116+0*Costeo!$E$116)*0.05)*2,0)-8)+(0*Costeo!$B$131+$A144*Costeo!$C$131+0*Costeo!$D$131+0*Costeo!$E$131))*Costeo!$B$54+IF((0*Costeo!$B$36+$A144*Costeo!$C$36)&lt;=2000,10,IF((0*Costeo!$B$36+$A144*Costeo!$C$36)&lt;=5000,15,IF((0*Costeo!$B$36+$A144*Costeo!$C$36)&lt;=10000,60,110)))-10)*Costeo!$B$51,2))+(ROUND((MAX(0,(0*Costeo!$B$130+$A144*Costeo!$C$130+0*Costeo!$D$130+0*Costeo!$E$130)+20*2*2*Costeo!$B$69+30*(1/3600*Costeo!$B$55+5/3600*Costeo!$B$56)-Costeo!$B$58)+IF(AND((0*Costeo!$B$120+$A144*Costeo!$C$120+0*Costeo!$D$120+0*Costeo!$E$120)&lt;=1000000,(0*Costeo!$B$119+$A144*Costeo!$C$119+0*Costeo!$D$119+0*Costeo!$E$119)&lt;=1000),0,IF((0*Costeo!$B$120+$A144*Costeo!$C$120+0*Costeo!$D$120+0*Costeo!$E$120)&lt;=10000000,20,IF((0*Costeo!$B$120+$A144*Costeo!$C$120+0*Costeo!$D$120+0*Costeo!$E$120)&lt;=50000000,100,300)))+MAX(0,ROUNDUP((0*Costeo!$B$36+$A144*Costeo!$C$36+0*Costeo!$D$36+0*Costeo!$E$36)/5000,0)-1)*Costeo!$B$62+IF((0*Costeo!$B$36+$A144*Costeo!$C$36+0*Costeo!$D$36+0*Costeo!$E$36)&gt;5000,32-Costeo!$B$61,0))*Costeo!$B$51,2))))&gt;=0),$A144,1000000000)</f>
        <v>1000000000</v>
      </c>
      <c r="D144" s="121">
        <f>IF(AND($A144*Costeo!$D$36&lt;=10000,(($A144)*$D$11-$B$4-((ROUND((MAX(0,(0*Costeo!$B$117+0*Costeo!$C$117+$A144*Costeo!$D$117+0*Costeo!$E$117)-100)*Costeo!$B$53+MAX(0,(0*Costeo!$B$118+0*Costeo!$C$118+$A144*Costeo!$D$118+0*Costeo!$E$118)-250)*Costeo!$B$52+(MAX(0,ROUNDUP(((0*Costeo!$B$116+0*Costeo!$C$116)+($A144*Costeo!$D$116+0*Costeo!$E$116)*0.05)*2,0)-8)+(0*Costeo!$B$131+0*Costeo!$C$131+$A144*Costeo!$D$131+0*Costeo!$E$131))*Costeo!$B$54+IF((0*Costeo!$B$36+0*Costeo!$C$36)&lt;=2000,10,IF((0*Costeo!$B$36+0*Costeo!$C$36)&lt;=5000,15,IF((0*Costeo!$B$36+0*Costeo!$C$36)&lt;=10000,60,110)))-10)*Costeo!$B$51,2))+(ROUND((MAX(0,(0*Costeo!$B$130+0*Costeo!$C$130+$A144*Costeo!$D$130+0*Costeo!$E$130)+20*2*2*Costeo!$B$69+30*(1/3600*Costeo!$B$55+5/3600*Costeo!$B$56)-Costeo!$B$58)+IF(AND((0*Costeo!$B$120+0*Costeo!$C$120+$A144*Costeo!$D$120+0*Costeo!$E$120)&lt;=1000000,(0*Costeo!$B$119+0*Costeo!$C$119+$A144*Costeo!$D$119+0*Costeo!$E$119)&lt;=1000),0,IF((0*Costeo!$B$120+0*Costeo!$C$120+$A144*Costeo!$D$120+0*Costeo!$E$120)&lt;=10000000,20,IF((0*Costeo!$B$120+0*Costeo!$C$120+$A144*Costeo!$D$120+0*Costeo!$E$120)&lt;=50000000,100,300)))+MAX(0,ROUNDUP((0*Costeo!$B$36+0*Costeo!$C$36+$A144*Costeo!$D$36+0*Costeo!$E$36)/5000,0)-1)*Costeo!$B$62+IF((0*Costeo!$B$36+0*Costeo!$C$36+$A144*Costeo!$D$36+0*Costeo!$E$36)&gt;5000,32-Costeo!$B$61,0))*Costeo!$B$51,2))))&gt;=0),$A144,1000000000)</f>
        <v>1000000000</v>
      </c>
      <c r="E144" s="121">
        <f>IF(AND($A144*Costeo!$E$36&lt;=10000,(($A144)*$D$12-$B$4-((ROUND((MAX(0,(0*Costeo!$B$117+0*Costeo!$C$117+0*Costeo!$D$117+$A144*Costeo!$E$117)-100)*Costeo!$B$53+MAX(0,(0*Costeo!$B$118+0*Costeo!$C$118+0*Costeo!$D$118+$A144*Costeo!$E$118)-250)*Costeo!$B$52+(MAX(0,ROUNDUP(((0*Costeo!$B$116+0*Costeo!$C$116)+(0*Costeo!$D$116+$A144*Costeo!$E$116)*0.05)*2,0)-8)+(0*Costeo!$B$131+0*Costeo!$C$131+0*Costeo!$D$131+$A144*Costeo!$E$131))*Costeo!$B$54+IF((0*Costeo!$B$36+0*Costeo!$C$36)&lt;=2000,10,IF((0*Costeo!$B$36+0*Costeo!$C$36)&lt;=5000,15,IF((0*Costeo!$B$36+0*Costeo!$C$36)&lt;=10000,60,110)))-10)*Costeo!$B$51,2))+(ROUND((MAX(0,(0*Costeo!$B$130+0*Costeo!$C$130+0*Costeo!$D$130+$A144*Costeo!$E$130)+20*2*2*Costeo!$B$69+30*(1/3600*Costeo!$B$55+5/3600*Costeo!$B$56)-Costeo!$B$58)+IF(AND((0*Costeo!$B$120+0*Costeo!$C$120+0*Costeo!$D$120+$A144*Costeo!$E$120)&lt;=1000000,(0*Costeo!$B$119+0*Costeo!$C$119+0*Costeo!$D$119+$A144*Costeo!$E$119)&lt;=1000),0,IF((0*Costeo!$B$120+0*Costeo!$C$120+0*Costeo!$D$120+$A144*Costeo!$E$120)&lt;=10000000,20,IF((0*Costeo!$B$120+0*Costeo!$C$120+0*Costeo!$D$120+$A144*Costeo!$E$120)&lt;=50000000,100,300)))+MAX(0,ROUNDUP((0*Costeo!$B$36+0*Costeo!$C$36+0*Costeo!$D$36+$A144*Costeo!$E$36)/5000,0)-1)*Costeo!$B$62+IF((0*Costeo!$B$36+0*Costeo!$C$36+0*Costeo!$D$36+$A144*Costeo!$E$36)&gt;5000,32-Costeo!$B$61,0))*Costeo!$B$51,2))))&gt;=0),$A144,1000000000)</f>
        <v>1000000000</v>
      </c>
    </row>
    <row r="145" hidden="1" outlineLevel="1" ht="30" customHeight="1" s="61">
      <c r="A145" s="52" t="n">
        <v>94</v>
      </c>
      <c r="B145" s="121">
        <f>IF(AND($A145*Costeo!$B$36&lt;=10000,(($A145)*$D$9-$B$4-((ROUND((MAX(0,($A145*Costeo!$B$117+0*Costeo!$C$117+0*Costeo!$D$117+0*Costeo!$E$117)-100)*Costeo!$B$53+MAX(0,($A145*Costeo!$B$118+0*Costeo!$C$118+0*Costeo!$D$118+0*Costeo!$E$118)-250)*Costeo!$B$52+(MAX(0,ROUNDUP((($A145*Costeo!$B$116+0*Costeo!$C$116)+(0*Costeo!$D$116+0*Costeo!$E$116)*0.05)*2,0)-8)+($A145*Costeo!$B$131+0*Costeo!$C$131+0*Costeo!$D$131+0*Costeo!$E$131))*Costeo!$B$54+IF(($A145*Costeo!$B$36+0*Costeo!$C$36)&lt;=2000,10,IF(($A145*Costeo!$B$36+0*Costeo!$C$36)&lt;=5000,15,IF(($A145*Costeo!$B$36+0*Costeo!$C$36)&lt;=10000,60,110)))-10)*Costeo!$B$51,2))+(ROUND((MAX(0,($A145*Costeo!$B$130+0*Costeo!$C$130+0*Costeo!$D$130+0*Costeo!$E$130)+20*2*2*Costeo!$B$69+30*(1/3600*Costeo!$B$55+5/3600*Costeo!$B$56)-Costeo!$B$58)+IF(AND(($A145*Costeo!$B$120+0*Costeo!$C$120+0*Costeo!$D$120+0*Costeo!$E$120)&lt;=1000000,($A145*Costeo!$B$119+0*Costeo!$C$119+0*Costeo!$D$119+0*Costeo!$E$119)&lt;=1000),0,IF(($A145*Costeo!$B$120+0*Costeo!$C$120+0*Costeo!$D$120+0*Costeo!$E$120)&lt;=10000000,20,IF(($A145*Costeo!$B$120+0*Costeo!$C$120+0*Costeo!$D$120+0*Costeo!$E$120)&lt;=50000000,100,300)))+MAX(0,ROUNDUP(($A145*Costeo!$B$36+0*Costeo!$C$36+0*Costeo!$D$36+0*Costeo!$E$36)/5000,0)-1)*Costeo!$B$62+IF(($A145*Costeo!$B$36+0*Costeo!$C$36+0*Costeo!$D$36+0*Costeo!$E$36)&gt;5000,32-Costeo!$B$61,0))*Costeo!$B$51,2))))&gt;=0),$A145,1000000000)</f>
        <v>94</v>
      </c>
      <c r="C145" s="121">
        <f>IF(AND($A145*Costeo!$C$36&lt;=10000,(($A145)*$D$10-$B$4-((ROUND((MAX(0,(0*Costeo!$B$117+$A145*Costeo!$C$117+0*Costeo!$D$117+0*Costeo!$E$117)-100)*Costeo!$B$53+MAX(0,(0*Costeo!$B$118+$A145*Costeo!$C$118+0*Costeo!$D$118+0*Costeo!$E$118)-250)*Costeo!$B$52+(MAX(0,ROUNDUP(((0*Costeo!$B$116+$A145*Costeo!$C$116)+(0*Costeo!$D$116+0*Costeo!$E$116)*0.05)*2,0)-8)+(0*Costeo!$B$131+$A145*Costeo!$C$131+0*Costeo!$D$131+0*Costeo!$E$131))*Costeo!$B$54+IF((0*Costeo!$B$36+$A145*Costeo!$C$36)&lt;=2000,10,IF((0*Costeo!$B$36+$A145*Costeo!$C$36)&lt;=5000,15,IF((0*Costeo!$B$36+$A145*Costeo!$C$36)&lt;=10000,60,110)))-10)*Costeo!$B$51,2))+(ROUND((MAX(0,(0*Costeo!$B$130+$A145*Costeo!$C$130+0*Costeo!$D$130+0*Costeo!$E$130)+20*2*2*Costeo!$B$69+30*(1/3600*Costeo!$B$55+5/3600*Costeo!$B$56)-Costeo!$B$58)+IF(AND((0*Costeo!$B$120+$A145*Costeo!$C$120+0*Costeo!$D$120+0*Costeo!$E$120)&lt;=1000000,(0*Costeo!$B$119+$A145*Costeo!$C$119+0*Costeo!$D$119+0*Costeo!$E$119)&lt;=1000),0,IF((0*Costeo!$B$120+$A145*Costeo!$C$120+0*Costeo!$D$120+0*Costeo!$E$120)&lt;=10000000,20,IF((0*Costeo!$B$120+$A145*Costeo!$C$120+0*Costeo!$D$120+0*Costeo!$E$120)&lt;=50000000,100,300)))+MAX(0,ROUNDUP((0*Costeo!$B$36+$A145*Costeo!$C$36+0*Costeo!$D$36+0*Costeo!$E$36)/5000,0)-1)*Costeo!$B$62+IF((0*Costeo!$B$36+$A145*Costeo!$C$36+0*Costeo!$D$36+0*Costeo!$E$36)&gt;5000,32-Costeo!$B$61,0))*Costeo!$B$51,2))))&gt;=0),$A145,1000000000)</f>
        <v>1000000000</v>
      </c>
      <c r="D145" s="121">
        <f>IF(AND($A145*Costeo!$D$36&lt;=10000,(($A145)*$D$11-$B$4-((ROUND((MAX(0,(0*Costeo!$B$117+0*Costeo!$C$117+$A145*Costeo!$D$117+0*Costeo!$E$117)-100)*Costeo!$B$53+MAX(0,(0*Costeo!$B$118+0*Costeo!$C$118+$A145*Costeo!$D$118+0*Costeo!$E$118)-250)*Costeo!$B$52+(MAX(0,ROUNDUP(((0*Costeo!$B$116+0*Costeo!$C$116)+($A145*Costeo!$D$116+0*Costeo!$E$116)*0.05)*2,0)-8)+(0*Costeo!$B$131+0*Costeo!$C$131+$A145*Costeo!$D$131+0*Costeo!$E$131))*Costeo!$B$54+IF((0*Costeo!$B$36+0*Costeo!$C$36)&lt;=2000,10,IF((0*Costeo!$B$36+0*Costeo!$C$36)&lt;=5000,15,IF((0*Costeo!$B$36+0*Costeo!$C$36)&lt;=10000,60,110)))-10)*Costeo!$B$51,2))+(ROUND((MAX(0,(0*Costeo!$B$130+0*Costeo!$C$130+$A145*Costeo!$D$130+0*Costeo!$E$130)+20*2*2*Costeo!$B$69+30*(1/3600*Costeo!$B$55+5/3600*Costeo!$B$56)-Costeo!$B$58)+IF(AND((0*Costeo!$B$120+0*Costeo!$C$120+$A145*Costeo!$D$120+0*Costeo!$E$120)&lt;=1000000,(0*Costeo!$B$119+0*Costeo!$C$119+$A145*Costeo!$D$119+0*Costeo!$E$119)&lt;=1000),0,IF((0*Costeo!$B$120+0*Costeo!$C$120+$A145*Costeo!$D$120+0*Costeo!$E$120)&lt;=10000000,20,IF((0*Costeo!$B$120+0*Costeo!$C$120+$A145*Costeo!$D$120+0*Costeo!$E$120)&lt;=50000000,100,300)))+MAX(0,ROUNDUP((0*Costeo!$B$36+0*Costeo!$C$36+$A145*Costeo!$D$36+0*Costeo!$E$36)/5000,0)-1)*Costeo!$B$62+IF((0*Costeo!$B$36+0*Costeo!$C$36+$A145*Costeo!$D$36+0*Costeo!$E$36)&gt;5000,32-Costeo!$B$61,0))*Costeo!$B$51,2))))&gt;=0),$A145,1000000000)</f>
        <v>1000000000</v>
      </c>
      <c r="E145" s="121">
        <f>IF(AND($A145*Costeo!$E$36&lt;=10000,(($A145)*$D$12-$B$4-((ROUND((MAX(0,(0*Costeo!$B$117+0*Costeo!$C$117+0*Costeo!$D$117+$A145*Costeo!$E$117)-100)*Costeo!$B$53+MAX(0,(0*Costeo!$B$118+0*Costeo!$C$118+0*Costeo!$D$118+$A145*Costeo!$E$118)-250)*Costeo!$B$52+(MAX(0,ROUNDUP(((0*Costeo!$B$116+0*Costeo!$C$116)+(0*Costeo!$D$116+$A145*Costeo!$E$116)*0.05)*2,0)-8)+(0*Costeo!$B$131+0*Costeo!$C$131+0*Costeo!$D$131+$A145*Costeo!$E$131))*Costeo!$B$54+IF((0*Costeo!$B$36+0*Costeo!$C$36)&lt;=2000,10,IF((0*Costeo!$B$36+0*Costeo!$C$36)&lt;=5000,15,IF((0*Costeo!$B$36+0*Costeo!$C$36)&lt;=10000,60,110)))-10)*Costeo!$B$51,2))+(ROUND((MAX(0,(0*Costeo!$B$130+0*Costeo!$C$130+0*Costeo!$D$130+$A145*Costeo!$E$130)+20*2*2*Costeo!$B$69+30*(1/3600*Costeo!$B$55+5/3600*Costeo!$B$56)-Costeo!$B$58)+IF(AND((0*Costeo!$B$120+0*Costeo!$C$120+0*Costeo!$D$120+$A145*Costeo!$E$120)&lt;=1000000,(0*Costeo!$B$119+0*Costeo!$C$119+0*Costeo!$D$119+$A145*Costeo!$E$119)&lt;=1000),0,IF((0*Costeo!$B$120+0*Costeo!$C$120+0*Costeo!$D$120+$A145*Costeo!$E$120)&lt;=10000000,20,IF((0*Costeo!$B$120+0*Costeo!$C$120+0*Costeo!$D$120+$A145*Costeo!$E$120)&lt;=50000000,100,300)))+MAX(0,ROUNDUP((0*Costeo!$B$36+0*Costeo!$C$36+0*Costeo!$D$36+$A145*Costeo!$E$36)/5000,0)-1)*Costeo!$B$62+IF((0*Costeo!$B$36+0*Costeo!$C$36+0*Costeo!$D$36+$A145*Costeo!$E$36)&gt;5000,32-Costeo!$B$61,0))*Costeo!$B$51,2))))&gt;=0),$A145,1000000000)</f>
        <v>1000000000</v>
      </c>
    </row>
    <row r="146" hidden="1" outlineLevel="1" ht="30" customHeight="1" s="61">
      <c r="A146" s="52" t="n">
        <v>95</v>
      </c>
      <c r="B146" s="121">
        <f>IF(AND($A146*Costeo!$B$36&lt;=10000,(($A146)*$D$9-$B$4-((ROUND((MAX(0,($A146*Costeo!$B$117+0*Costeo!$C$117+0*Costeo!$D$117+0*Costeo!$E$117)-100)*Costeo!$B$53+MAX(0,($A146*Costeo!$B$118+0*Costeo!$C$118+0*Costeo!$D$118+0*Costeo!$E$118)-250)*Costeo!$B$52+(MAX(0,ROUNDUP((($A146*Costeo!$B$116+0*Costeo!$C$116)+(0*Costeo!$D$116+0*Costeo!$E$116)*0.05)*2,0)-8)+($A146*Costeo!$B$131+0*Costeo!$C$131+0*Costeo!$D$131+0*Costeo!$E$131))*Costeo!$B$54+IF(($A146*Costeo!$B$36+0*Costeo!$C$36)&lt;=2000,10,IF(($A146*Costeo!$B$36+0*Costeo!$C$36)&lt;=5000,15,IF(($A146*Costeo!$B$36+0*Costeo!$C$36)&lt;=10000,60,110)))-10)*Costeo!$B$51,2))+(ROUND((MAX(0,($A146*Costeo!$B$130+0*Costeo!$C$130+0*Costeo!$D$130+0*Costeo!$E$130)+20*2*2*Costeo!$B$69+30*(1/3600*Costeo!$B$55+5/3600*Costeo!$B$56)-Costeo!$B$58)+IF(AND(($A146*Costeo!$B$120+0*Costeo!$C$120+0*Costeo!$D$120+0*Costeo!$E$120)&lt;=1000000,($A146*Costeo!$B$119+0*Costeo!$C$119+0*Costeo!$D$119+0*Costeo!$E$119)&lt;=1000),0,IF(($A146*Costeo!$B$120+0*Costeo!$C$120+0*Costeo!$D$120+0*Costeo!$E$120)&lt;=10000000,20,IF(($A146*Costeo!$B$120+0*Costeo!$C$120+0*Costeo!$D$120+0*Costeo!$E$120)&lt;=50000000,100,300)))+MAX(0,ROUNDUP(($A146*Costeo!$B$36+0*Costeo!$C$36+0*Costeo!$D$36+0*Costeo!$E$36)/5000,0)-1)*Costeo!$B$62+IF(($A146*Costeo!$B$36+0*Costeo!$C$36+0*Costeo!$D$36+0*Costeo!$E$36)&gt;5000,32-Costeo!$B$61,0))*Costeo!$B$51,2))))&gt;=0),$A146,1000000000)</f>
        <v>95</v>
      </c>
      <c r="C146" s="121">
        <f>IF(AND($A146*Costeo!$C$36&lt;=10000,(($A146)*$D$10-$B$4-((ROUND((MAX(0,(0*Costeo!$B$117+$A146*Costeo!$C$117+0*Costeo!$D$117+0*Costeo!$E$117)-100)*Costeo!$B$53+MAX(0,(0*Costeo!$B$118+$A146*Costeo!$C$118+0*Costeo!$D$118+0*Costeo!$E$118)-250)*Costeo!$B$52+(MAX(0,ROUNDUP(((0*Costeo!$B$116+$A146*Costeo!$C$116)+(0*Costeo!$D$116+0*Costeo!$E$116)*0.05)*2,0)-8)+(0*Costeo!$B$131+$A146*Costeo!$C$131+0*Costeo!$D$131+0*Costeo!$E$131))*Costeo!$B$54+IF((0*Costeo!$B$36+$A146*Costeo!$C$36)&lt;=2000,10,IF((0*Costeo!$B$36+$A146*Costeo!$C$36)&lt;=5000,15,IF((0*Costeo!$B$36+$A146*Costeo!$C$36)&lt;=10000,60,110)))-10)*Costeo!$B$51,2))+(ROUND((MAX(0,(0*Costeo!$B$130+$A146*Costeo!$C$130+0*Costeo!$D$130+0*Costeo!$E$130)+20*2*2*Costeo!$B$69+30*(1/3600*Costeo!$B$55+5/3600*Costeo!$B$56)-Costeo!$B$58)+IF(AND((0*Costeo!$B$120+$A146*Costeo!$C$120+0*Costeo!$D$120+0*Costeo!$E$120)&lt;=1000000,(0*Costeo!$B$119+$A146*Costeo!$C$119+0*Costeo!$D$119+0*Costeo!$E$119)&lt;=1000),0,IF((0*Costeo!$B$120+$A146*Costeo!$C$120+0*Costeo!$D$120+0*Costeo!$E$120)&lt;=10000000,20,IF((0*Costeo!$B$120+$A146*Costeo!$C$120+0*Costeo!$D$120+0*Costeo!$E$120)&lt;=50000000,100,300)))+MAX(0,ROUNDUP((0*Costeo!$B$36+$A146*Costeo!$C$36+0*Costeo!$D$36+0*Costeo!$E$36)/5000,0)-1)*Costeo!$B$62+IF((0*Costeo!$B$36+$A146*Costeo!$C$36+0*Costeo!$D$36+0*Costeo!$E$36)&gt;5000,32-Costeo!$B$61,0))*Costeo!$B$51,2))))&gt;=0),$A146,1000000000)</f>
        <v>1000000000</v>
      </c>
      <c r="D146" s="121">
        <f>IF(AND($A146*Costeo!$D$36&lt;=10000,(($A146)*$D$11-$B$4-((ROUND((MAX(0,(0*Costeo!$B$117+0*Costeo!$C$117+$A146*Costeo!$D$117+0*Costeo!$E$117)-100)*Costeo!$B$53+MAX(0,(0*Costeo!$B$118+0*Costeo!$C$118+$A146*Costeo!$D$118+0*Costeo!$E$118)-250)*Costeo!$B$52+(MAX(0,ROUNDUP(((0*Costeo!$B$116+0*Costeo!$C$116)+($A146*Costeo!$D$116+0*Costeo!$E$116)*0.05)*2,0)-8)+(0*Costeo!$B$131+0*Costeo!$C$131+$A146*Costeo!$D$131+0*Costeo!$E$131))*Costeo!$B$54+IF((0*Costeo!$B$36+0*Costeo!$C$36)&lt;=2000,10,IF((0*Costeo!$B$36+0*Costeo!$C$36)&lt;=5000,15,IF((0*Costeo!$B$36+0*Costeo!$C$36)&lt;=10000,60,110)))-10)*Costeo!$B$51,2))+(ROUND((MAX(0,(0*Costeo!$B$130+0*Costeo!$C$130+$A146*Costeo!$D$130+0*Costeo!$E$130)+20*2*2*Costeo!$B$69+30*(1/3600*Costeo!$B$55+5/3600*Costeo!$B$56)-Costeo!$B$58)+IF(AND((0*Costeo!$B$120+0*Costeo!$C$120+$A146*Costeo!$D$120+0*Costeo!$E$120)&lt;=1000000,(0*Costeo!$B$119+0*Costeo!$C$119+$A146*Costeo!$D$119+0*Costeo!$E$119)&lt;=1000),0,IF((0*Costeo!$B$120+0*Costeo!$C$120+$A146*Costeo!$D$120+0*Costeo!$E$120)&lt;=10000000,20,IF((0*Costeo!$B$120+0*Costeo!$C$120+$A146*Costeo!$D$120+0*Costeo!$E$120)&lt;=50000000,100,300)))+MAX(0,ROUNDUP((0*Costeo!$B$36+0*Costeo!$C$36+$A146*Costeo!$D$36+0*Costeo!$E$36)/5000,0)-1)*Costeo!$B$62+IF((0*Costeo!$B$36+0*Costeo!$C$36+$A146*Costeo!$D$36+0*Costeo!$E$36)&gt;5000,32-Costeo!$B$61,0))*Costeo!$B$51,2))))&gt;=0),$A146,1000000000)</f>
        <v>1000000000</v>
      </c>
      <c r="E146" s="121">
        <f>IF(AND($A146*Costeo!$E$36&lt;=10000,(($A146)*$D$12-$B$4-((ROUND((MAX(0,(0*Costeo!$B$117+0*Costeo!$C$117+0*Costeo!$D$117+$A146*Costeo!$E$117)-100)*Costeo!$B$53+MAX(0,(0*Costeo!$B$118+0*Costeo!$C$118+0*Costeo!$D$118+$A146*Costeo!$E$118)-250)*Costeo!$B$52+(MAX(0,ROUNDUP(((0*Costeo!$B$116+0*Costeo!$C$116)+(0*Costeo!$D$116+$A146*Costeo!$E$116)*0.05)*2,0)-8)+(0*Costeo!$B$131+0*Costeo!$C$131+0*Costeo!$D$131+$A146*Costeo!$E$131))*Costeo!$B$54+IF((0*Costeo!$B$36+0*Costeo!$C$36)&lt;=2000,10,IF((0*Costeo!$B$36+0*Costeo!$C$36)&lt;=5000,15,IF((0*Costeo!$B$36+0*Costeo!$C$36)&lt;=10000,60,110)))-10)*Costeo!$B$51,2))+(ROUND((MAX(0,(0*Costeo!$B$130+0*Costeo!$C$130+0*Costeo!$D$130+$A146*Costeo!$E$130)+20*2*2*Costeo!$B$69+30*(1/3600*Costeo!$B$55+5/3600*Costeo!$B$56)-Costeo!$B$58)+IF(AND((0*Costeo!$B$120+0*Costeo!$C$120+0*Costeo!$D$120+$A146*Costeo!$E$120)&lt;=1000000,(0*Costeo!$B$119+0*Costeo!$C$119+0*Costeo!$D$119+$A146*Costeo!$E$119)&lt;=1000),0,IF((0*Costeo!$B$120+0*Costeo!$C$120+0*Costeo!$D$120+$A146*Costeo!$E$120)&lt;=10000000,20,IF((0*Costeo!$B$120+0*Costeo!$C$120+0*Costeo!$D$120+$A146*Costeo!$E$120)&lt;=50000000,100,300)))+MAX(0,ROUNDUP((0*Costeo!$B$36+0*Costeo!$C$36+0*Costeo!$D$36+$A146*Costeo!$E$36)/5000,0)-1)*Costeo!$B$62+IF((0*Costeo!$B$36+0*Costeo!$C$36+0*Costeo!$D$36+$A146*Costeo!$E$36)&gt;5000,32-Costeo!$B$61,0))*Costeo!$B$51,2))))&gt;=0),$A146,1000000000)</f>
        <v>1000000000</v>
      </c>
    </row>
    <row r="147" hidden="1" outlineLevel="1" ht="30" customHeight="1" s="61">
      <c r="A147" s="52" t="n">
        <v>96</v>
      </c>
      <c r="B147" s="121">
        <f>IF(AND($A147*Costeo!$B$36&lt;=10000,(($A147)*$D$9-$B$4-((ROUND((MAX(0,($A147*Costeo!$B$117+0*Costeo!$C$117+0*Costeo!$D$117+0*Costeo!$E$117)-100)*Costeo!$B$53+MAX(0,($A147*Costeo!$B$118+0*Costeo!$C$118+0*Costeo!$D$118+0*Costeo!$E$118)-250)*Costeo!$B$52+(MAX(0,ROUNDUP((($A147*Costeo!$B$116+0*Costeo!$C$116)+(0*Costeo!$D$116+0*Costeo!$E$116)*0.05)*2,0)-8)+($A147*Costeo!$B$131+0*Costeo!$C$131+0*Costeo!$D$131+0*Costeo!$E$131))*Costeo!$B$54+IF(($A147*Costeo!$B$36+0*Costeo!$C$36)&lt;=2000,10,IF(($A147*Costeo!$B$36+0*Costeo!$C$36)&lt;=5000,15,IF(($A147*Costeo!$B$36+0*Costeo!$C$36)&lt;=10000,60,110)))-10)*Costeo!$B$51,2))+(ROUND((MAX(0,($A147*Costeo!$B$130+0*Costeo!$C$130+0*Costeo!$D$130+0*Costeo!$E$130)+20*2*2*Costeo!$B$69+30*(1/3600*Costeo!$B$55+5/3600*Costeo!$B$56)-Costeo!$B$58)+IF(AND(($A147*Costeo!$B$120+0*Costeo!$C$120+0*Costeo!$D$120+0*Costeo!$E$120)&lt;=1000000,($A147*Costeo!$B$119+0*Costeo!$C$119+0*Costeo!$D$119+0*Costeo!$E$119)&lt;=1000),0,IF(($A147*Costeo!$B$120+0*Costeo!$C$120+0*Costeo!$D$120+0*Costeo!$E$120)&lt;=10000000,20,IF(($A147*Costeo!$B$120+0*Costeo!$C$120+0*Costeo!$D$120+0*Costeo!$E$120)&lt;=50000000,100,300)))+MAX(0,ROUNDUP(($A147*Costeo!$B$36+0*Costeo!$C$36+0*Costeo!$D$36+0*Costeo!$E$36)/5000,0)-1)*Costeo!$B$62+IF(($A147*Costeo!$B$36+0*Costeo!$C$36+0*Costeo!$D$36+0*Costeo!$E$36)&gt;5000,32-Costeo!$B$61,0))*Costeo!$B$51,2))))&gt;=0),$A147,1000000000)</f>
        <v>96</v>
      </c>
      <c r="C147" s="121">
        <f>IF(AND($A147*Costeo!$C$36&lt;=10000,(($A147)*$D$10-$B$4-((ROUND((MAX(0,(0*Costeo!$B$117+$A147*Costeo!$C$117+0*Costeo!$D$117+0*Costeo!$E$117)-100)*Costeo!$B$53+MAX(0,(0*Costeo!$B$118+$A147*Costeo!$C$118+0*Costeo!$D$118+0*Costeo!$E$118)-250)*Costeo!$B$52+(MAX(0,ROUNDUP(((0*Costeo!$B$116+$A147*Costeo!$C$116)+(0*Costeo!$D$116+0*Costeo!$E$116)*0.05)*2,0)-8)+(0*Costeo!$B$131+$A147*Costeo!$C$131+0*Costeo!$D$131+0*Costeo!$E$131))*Costeo!$B$54+IF((0*Costeo!$B$36+$A147*Costeo!$C$36)&lt;=2000,10,IF((0*Costeo!$B$36+$A147*Costeo!$C$36)&lt;=5000,15,IF((0*Costeo!$B$36+$A147*Costeo!$C$36)&lt;=10000,60,110)))-10)*Costeo!$B$51,2))+(ROUND((MAX(0,(0*Costeo!$B$130+$A147*Costeo!$C$130+0*Costeo!$D$130+0*Costeo!$E$130)+20*2*2*Costeo!$B$69+30*(1/3600*Costeo!$B$55+5/3600*Costeo!$B$56)-Costeo!$B$58)+IF(AND((0*Costeo!$B$120+$A147*Costeo!$C$120+0*Costeo!$D$120+0*Costeo!$E$120)&lt;=1000000,(0*Costeo!$B$119+$A147*Costeo!$C$119+0*Costeo!$D$119+0*Costeo!$E$119)&lt;=1000),0,IF((0*Costeo!$B$120+$A147*Costeo!$C$120+0*Costeo!$D$120+0*Costeo!$E$120)&lt;=10000000,20,IF((0*Costeo!$B$120+$A147*Costeo!$C$120+0*Costeo!$D$120+0*Costeo!$E$120)&lt;=50000000,100,300)))+MAX(0,ROUNDUP((0*Costeo!$B$36+$A147*Costeo!$C$36+0*Costeo!$D$36+0*Costeo!$E$36)/5000,0)-1)*Costeo!$B$62+IF((0*Costeo!$B$36+$A147*Costeo!$C$36+0*Costeo!$D$36+0*Costeo!$E$36)&gt;5000,32-Costeo!$B$61,0))*Costeo!$B$51,2))))&gt;=0),$A147,1000000000)</f>
        <v>1000000000</v>
      </c>
      <c r="D147" s="121">
        <f>IF(AND($A147*Costeo!$D$36&lt;=10000,(($A147)*$D$11-$B$4-((ROUND((MAX(0,(0*Costeo!$B$117+0*Costeo!$C$117+$A147*Costeo!$D$117+0*Costeo!$E$117)-100)*Costeo!$B$53+MAX(0,(0*Costeo!$B$118+0*Costeo!$C$118+$A147*Costeo!$D$118+0*Costeo!$E$118)-250)*Costeo!$B$52+(MAX(0,ROUNDUP(((0*Costeo!$B$116+0*Costeo!$C$116)+($A147*Costeo!$D$116+0*Costeo!$E$116)*0.05)*2,0)-8)+(0*Costeo!$B$131+0*Costeo!$C$131+$A147*Costeo!$D$131+0*Costeo!$E$131))*Costeo!$B$54+IF((0*Costeo!$B$36+0*Costeo!$C$36)&lt;=2000,10,IF((0*Costeo!$B$36+0*Costeo!$C$36)&lt;=5000,15,IF((0*Costeo!$B$36+0*Costeo!$C$36)&lt;=10000,60,110)))-10)*Costeo!$B$51,2))+(ROUND((MAX(0,(0*Costeo!$B$130+0*Costeo!$C$130+$A147*Costeo!$D$130+0*Costeo!$E$130)+20*2*2*Costeo!$B$69+30*(1/3600*Costeo!$B$55+5/3600*Costeo!$B$56)-Costeo!$B$58)+IF(AND((0*Costeo!$B$120+0*Costeo!$C$120+$A147*Costeo!$D$120+0*Costeo!$E$120)&lt;=1000000,(0*Costeo!$B$119+0*Costeo!$C$119+$A147*Costeo!$D$119+0*Costeo!$E$119)&lt;=1000),0,IF((0*Costeo!$B$120+0*Costeo!$C$120+$A147*Costeo!$D$120+0*Costeo!$E$120)&lt;=10000000,20,IF((0*Costeo!$B$120+0*Costeo!$C$120+$A147*Costeo!$D$120+0*Costeo!$E$120)&lt;=50000000,100,300)))+MAX(0,ROUNDUP((0*Costeo!$B$36+0*Costeo!$C$36+$A147*Costeo!$D$36+0*Costeo!$E$36)/5000,0)-1)*Costeo!$B$62+IF((0*Costeo!$B$36+0*Costeo!$C$36+$A147*Costeo!$D$36+0*Costeo!$E$36)&gt;5000,32-Costeo!$B$61,0))*Costeo!$B$51,2))))&gt;=0),$A147,1000000000)</f>
        <v>1000000000</v>
      </c>
      <c r="E147" s="121">
        <f>IF(AND($A147*Costeo!$E$36&lt;=10000,(($A147)*$D$12-$B$4-((ROUND((MAX(0,(0*Costeo!$B$117+0*Costeo!$C$117+0*Costeo!$D$117+$A147*Costeo!$E$117)-100)*Costeo!$B$53+MAX(0,(0*Costeo!$B$118+0*Costeo!$C$118+0*Costeo!$D$118+$A147*Costeo!$E$118)-250)*Costeo!$B$52+(MAX(0,ROUNDUP(((0*Costeo!$B$116+0*Costeo!$C$116)+(0*Costeo!$D$116+$A147*Costeo!$E$116)*0.05)*2,0)-8)+(0*Costeo!$B$131+0*Costeo!$C$131+0*Costeo!$D$131+$A147*Costeo!$E$131))*Costeo!$B$54+IF((0*Costeo!$B$36+0*Costeo!$C$36)&lt;=2000,10,IF((0*Costeo!$B$36+0*Costeo!$C$36)&lt;=5000,15,IF((0*Costeo!$B$36+0*Costeo!$C$36)&lt;=10000,60,110)))-10)*Costeo!$B$51,2))+(ROUND((MAX(0,(0*Costeo!$B$130+0*Costeo!$C$130+0*Costeo!$D$130+$A147*Costeo!$E$130)+20*2*2*Costeo!$B$69+30*(1/3600*Costeo!$B$55+5/3600*Costeo!$B$56)-Costeo!$B$58)+IF(AND((0*Costeo!$B$120+0*Costeo!$C$120+0*Costeo!$D$120+$A147*Costeo!$E$120)&lt;=1000000,(0*Costeo!$B$119+0*Costeo!$C$119+0*Costeo!$D$119+$A147*Costeo!$E$119)&lt;=1000),0,IF((0*Costeo!$B$120+0*Costeo!$C$120+0*Costeo!$D$120+$A147*Costeo!$E$120)&lt;=10000000,20,IF((0*Costeo!$B$120+0*Costeo!$C$120+0*Costeo!$D$120+$A147*Costeo!$E$120)&lt;=50000000,100,300)))+MAX(0,ROUNDUP((0*Costeo!$B$36+0*Costeo!$C$36+0*Costeo!$D$36+$A147*Costeo!$E$36)/5000,0)-1)*Costeo!$B$62+IF((0*Costeo!$B$36+0*Costeo!$C$36+0*Costeo!$D$36+$A147*Costeo!$E$36)&gt;5000,32-Costeo!$B$61,0))*Costeo!$B$51,2))))&gt;=0),$A147,1000000000)</f>
        <v>1000000000</v>
      </c>
    </row>
    <row r="148" hidden="1" outlineLevel="1" ht="30" customHeight="1" s="61">
      <c r="A148" s="52" t="n">
        <v>97</v>
      </c>
      <c r="B148" s="121">
        <f>IF(AND($A148*Costeo!$B$36&lt;=10000,(($A148)*$D$9-$B$4-((ROUND((MAX(0,($A148*Costeo!$B$117+0*Costeo!$C$117+0*Costeo!$D$117+0*Costeo!$E$117)-100)*Costeo!$B$53+MAX(0,($A148*Costeo!$B$118+0*Costeo!$C$118+0*Costeo!$D$118+0*Costeo!$E$118)-250)*Costeo!$B$52+(MAX(0,ROUNDUP((($A148*Costeo!$B$116+0*Costeo!$C$116)+(0*Costeo!$D$116+0*Costeo!$E$116)*0.05)*2,0)-8)+($A148*Costeo!$B$131+0*Costeo!$C$131+0*Costeo!$D$131+0*Costeo!$E$131))*Costeo!$B$54+IF(($A148*Costeo!$B$36+0*Costeo!$C$36)&lt;=2000,10,IF(($A148*Costeo!$B$36+0*Costeo!$C$36)&lt;=5000,15,IF(($A148*Costeo!$B$36+0*Costeo!$C$36)&lt;=10000,60,110)))-10)*Costeo!$B$51,2))+(ROUND((MAX(0,($A148*Costeo!$B$130+0*Costeo!$C$130+0*Costeo!$D$130+0*Costeo!$E$130)+20*2*2*Costeo!$B$69+30*(1/3600*Costeo!$B$55+5/3600*Costeo!$B$56)-Costeo!$B$58)+IF(AND(($A148*Costeo!$B$120+0*Costeo!$C$120+0*Costeo!$D$120+0*Costeo!$E$120)&lt;=1000000,($A148*Costeo!$B$119+0*Costeo!$C$119+0*Costeo!$D$119+0*Costeo!$E$119)&lt;=1000),0,IF(($A148*Costeo!$B$120+0*Costeo!$C$120+0*Costeo!$D$120+0*Costeo!$E$120)&lt;=10000000,20,IF(($A148*Costeo!$B$120+0*Costeo!$C$120+0*Costeo!$D$120+0*Costeo!$E$120)&lt;=50000000,100,300)))+MAX(0,ROUNDUP(($A148*Costeo!$B$36+0*Costeo!$C$36+0*Costeo!$D$36+0*Costeo!$E$36)/5000,0)-1)*Costeo!$B$62+IF(($A148*Costeo!$B$36+0*Costeo!$C$36+0*Costeo!$D$36+0*Costeo!$E$36)&gt;5000,32-Costeo!$B$61,0))*Costeo!$B$51,2))))&gt;=0),$A148,1000000000)</f>
        <v>97</v>
      </c>
      <c r="C148" s="121">
        <f>IF(AND($A148*Costeo!$C$36&lt;=10000,(($A148)*$D$10-$B$4-((ROUND((MAX(0,(0*Costeo!$B$117+$A148*Costeo!$C$117+0*Costeo!$D$117+0*Costeo!$E$117)-100)*Costeo!$B$53+MAX(0,(0*Costeo!$B$118+$A148*Costeo!$C$118+0*Costeo!$D$118+0*Costeo!$E$118)-250)*Costeo!$B$52+(MAX(0,ROUNDUP(((0*Costeo!$B$116+$A148*Costeo!$C$116)+(0*Costeo!$D$116+0*Costeo!$E$116)*0.05)*2,0)-8)+(0*Costeo!$B$131+$A148*Costeo!$C$131+0*Costeo!$D$131+0*Costeo!$E$131))*Costeo!$B$54+IF((0*Costeo!$B$36+$A148*Costeo!$C$36)&lt;=2000,10,IF((0*Costeo!$B$36+$A148*Costeo!$C$36)&lt;=5000,15,IF((0*Costeo!$B$36+$A148*Costeo!$C$36)&lt;=10000,60,110)))-10)*Costeo!$B$51,2))+(ROUND((MAX(0,(0*Costeo!$B$130+$A148*Costeo!$C$130+0*Costeo!$D$130+0*Costeo!$E$130)+20*2*2*Costeo!$B$69+30*(1/3600*Costeo!$B$55+5/3600*Costeo!$B$56)-Costeo!$B$58)+IF(AND((0*Costeo!$B$120+$A148*Costeo!$C$120+0*Costeo!$D$120+0*Costeo!$E$120)&lt;=1000000,(0*Costeo!$B$119+$A148*Costeo!$C$119+0*Costeo!$D$119+0*Costeo!$E$119)&lt;=1000),0,IF((0*Costeo!$B$120+$A148*Costeo!$C$120+0*Costeo!$D$120+0*Costeo!$E$120)&lt;=10000000,20,IF((0*Costeo!$B$120+$A148*Costeo!$C$120+0*Costeo!$D$120+0*Costeo!$E$120)&lt;=50000000,100,300)))+MAX(0,ROUNDUP((0*Costeo!$B$36+$A148*Costeo!$C$36+0*Costeo!$D$36+0*Costeo!$E$36)/5000,0)-1)*Costeo!$B$62+IF((0*Costeo!$B$36+$A148*Costeo!$C$36+0*Costeo!$D$36+0*Costeo!$E$36)&gt;5000,32-Costeo!$B$61,0))*Costeo!$B$51,2))))&gt;=0),$A148,1000000000)</f>
        <v>1000000000</v>
      </c>
      <c r="D148" s="121">
        <f>IF(AND($A148*Costeo!$D$36&lt;=10000,(($A148)*$D$11-$B$4-((ROUND((MAX(0,(0*Costeo!$B$117+0*Costeo!$C$117+$A148*Costeo!$D$117+0*Costeo!$E$117)-100)*Costeo!$B$53+MAX(0,(0*Costeo!$B$118+0*Costeo!$C$118+$A148*Costeo!$D$118+0*Costeo!$E$118)-250)*Costeo!$B$52+(MAX(0,ROUNDUP(((0*Costeo!$B$116+0*Costeo!$C$116)+($A148*Costeo!$D$116+0*Costeo!$E$116)*0.05)*2,0)-8)+(0*Costeo!$B$131+0*Costeo!$C$131+$A148*Costeo!$D$131+0*Costeo!$E$131))*Costeo!$B$54+IF((0*Costeo!$B$36+0*Costeo!$C$36)&lt;=2000,10,IF((0*Costeo!$B$36+0*Costeo!$C$36)&lt;=5000,15,IF((0*Costeo!$B$36+0*Costeo!$C$36)&lt;=10000,60,110)))-10)*Costeo!$B$51,2))+(ROUND((MAX(0,(0*Costeo!$B$130+0*Costeo!$C$130+$A148*Costeo!$D$130+0*Costeo!$E$130)+20*2*2*Costeo!$B$69+30*(1/3600*Costeo!$B$55+5/3600*Costeo!$B$56)-Costeo!$B$58)+IF(AND((0*Costeo!$B$120+0*Costeo!$C$120+$A148*Costeo!$D$120+0*Costeo!$E$120)&lt;=1000000,(0*Costeo!$B$119+0*Costeo!$C$119+$A148*Costeo!$D$119+0*Costeo!$E$119)&lt;=1000),0,IF((0*Costeo!$B$120+0*Costeo!$C$120+$A148*Costeo!$D$120+0*Costeo!$E$120)&lt;=10000000,20,IF((0*Costeo!$B$120+0*Costeo!$C$120+$A148*Costeo!$D$120+0*Costeo!$E$120)&lt;=50000000,100,300)))+MAX(0,ROUNDUP((0*Costeo!$B$36+0*Costeo!$C$36+$A148*Costeo!$D$36+0*Costeo!$E$36)/5000,0)-1)*Costeo!$B$62+IF((0*Costeo!$B$36+0*Costeo!$C$36+$A148*Costeo!$D$36+0*Costeo!$E$36)&gt;5000,32-Costeo!$B$61,0))*Costeo!$B$51,2))))&gt;=0),$A148,1000000000)</f>
        <v>1000000000</v>
      </c>
      <c r="E148" s="121">
        <f>IF(AND($A148*Costeo!$E$36&lt;=10000,(($A148)*$D$12-$B$4-((ROUND((MAX(0,(0*Costeo!$B$117+0*Costeo!$C$117+0*Costeo!$D$117+$A148*Costeo!$E$117)-100)*Costeo!$B$53+MAX(0,(0*Costeo!$B$118+0*Costeo!$C$118+0*Costeo!$D$118+$A148*Costeo!$E$118)-250)*Costeo!$B$52+(MAX(0,ROUNDUP(((0*Costeo!$B$116+0*Costeo!$C$116)+(0*Costeo!$D$116+$A148*Costeo!$E$116)*0.05)*2,0)-8)+(0*Costeo!$B$131+0*Costeo!$C$131+0*Costeo!$D$131+$A148*Costeo!$E$131))*Costeo!$B$54+IF((0*Costeo!$B$36+0*Costeo!$C$36)&lt;=2000,10,IF((0*Costeo!$B$36+0*Costeo!$C$36)&lt;=5000,15,IF((0*Costeo!$B$36+0*Costeo!$C$36)&lt;=10000,60,110)))-10)*Costeo!$B$51,2))+(ROUND((MAX(0,(0*Costeo!$B$130+0*Costeo!$C$130+0*Costeo!$D$130+$A148*Costeo!$E$130)+20*2*2*Costeo!$B$69+30*(1/3600*Costeo!$B$55+5/3600*Costeo!$B$56)-Costeo!$B$58)+IF(AND((0*Costeo!$B$120+0*Costeo!$C$120+0*Costeo!$D$120+$A148*Costeo!$E$120)&lt;=1000000,(0*Costeo!$B$119+0*Costeo!$C$119+0*Costeo!$D$119+$A148*Costeo!$E$119)&lt;=1000),0,IF((0*Costeo!$B$120+0*Costeo!$C$120+0*Costeo!$D$120+$A148*Costeo!$E$120)&lt;=10000000,20,IF((0*Costeo!$B$120+0*Costeo!$C$120+0*Costeo!$D$120+$A148*Costeo!$E$120)&lt;=50000000,100,300)))+MAX(0,ROUNDUP((0*Costeo!$B$36+0*Costeo!$C$36+0*Costeo!$D$36+$A148*Costeo!$E$36)/5000,0)-1)*Costeo!$B$62+IF((0*Costeo!$B$36+0*Costeo!$C$36+0*Costeo!$D$36+$A148*Costeo!$E$36)&gt;5000,32-Costeo!$B$61,0))*Costeo!$B$51,2))))&gt;=0),$A148,1000000000)</f>
        <v>1000000000</v>
      </c>
    </row>
    <row r="149" hidden="1" outlineLevel="1" ht="30" customHeight="1" s="61">
      <c r="A149" s="52" t="n">
        <v>98</v>
      </c>
      <c r="B149" s="121">
        <f>IF(AND($A149*Costeo!$B$36&lt;=10000,(($A149)*$D$9-$B$4-((ROUND((MAX(0,($A149*Costeo!$B$117+0*Costeo!$C$117+0*Costeo!$D$117+0*Costeo!$E$117)-100)*Costeo!$B$53+MAX(0,($A149*Costeo!$B$118+0*Costeo!$C$118+0*Costeo!$D$118+0*Costeo!$E$118)-250)*Costeo!$B$52+(MAX(0,ROUNDUP((($A149*Costeo!$B$116+0*Costeo!$C$116)+(0*Costeo!$D$116+0*Costeo!$E$116)*0.05)*2,0)-8)+($A149*Costeo!$B$131+0*Costeo!$C$131+0*Costeo!$D$131+0*Costeo!$E$131))*Costeo!$B$54+IF(($A149*Costeo!$B$36+0*Costeo!$C$36)&lt;=2000,10,IF(($A149*Costeo!$B$36+0*Costeo!$C$36)&lt;=5000,15,IF(($A149*Costeo!$B$36+0*Costeo!$C$36)&lt;=10000,60,110)))-10)*Costeo!$B$51,2))+(ROUND((MAX(0,($A149*Costeo!$B$130+0*Costeo!$C$130+0*Costeo!$D$130+0*Costeo!$E$130)+20*2*2*Costeo!$B$69+30*(1/3600*Costeo!$B$55+5/3600*Costeo!$B$56)-Costeo!$B$58)+IF(AND(($A149*Costeo!$B$120+0*Costeo!$C$120+0*Costeo!$D$120+0*Costeo!$E$120)&lt;=1000000,($A149*Costeo!$B$119+0*Costeo!$C$119+0*Costeo!$D$119+0*Costeo!$E$119)&lt;=1000),0,IF(($A149*Costeo!$B$120+0*Costeo!$C$120+0*Costeo!$D$120+0*Costeo!$E$120)&lt;=10000000,20,IF(($A149*Costeo!$B$120+0*Costeo!$C$120+0*Costeo!$D$120+0*Costeo!$E$120)&lt;=50000000,100,300)))+MAX(0,ROUNDUP(($A149*Costeo!$B$36+0*Costeo!$C$36+0*Costeo!$D$36+0*Costeo!$E$36)/5000,0)-1)*Costeo!$B$62+IF(($A149*Costeo!$B$36+0*Costeo!$C$36+0*Costeo!$D$36+0*Costeo!$E$36)&gt;5000,32-Costeo!$B$61,0))*Costeo!$B$51,2))))&gt;=0),$A149,1000000000)</f>
        <v>98</v>
      </c>
      <c r="C149" s="121">
        <f>IF(AND($A149*Costeo!$C$36&lt;=10000,(($A149)*$D$10-$B$4-((ROUND((MAX(0,(0*Costeo!$B$117+$A149*Costeo!$C$117+0*Costeo!$D$117+0*Costeo!$E$117)-100)*Costeo!$B$53+MAX(0,(0*Costeo!$B$118+$A149*Costeo!$C$118+0*Costeo!$D$118+0*Costeo!$E$118)-250)*Costeo!$B$52+(MAX(0,ROUNDUP(((0*Costeo!$B$116+$A149*Costeo!$C$116)+(0*Costeo!$D$116+0*Costeo!$E$116)*0.05)*2,0)-8)+(0*Costeo!$B$131+$A149*Costeo!$C$131+0*Costeo!$D$131+0*Costeo!$E$131))*Costeo!$B$54+IF((0*Costeo!$B$36+$A149*Costeo!$C$36)&lt;=2000,10,IF((0*Costeo!$B$36+$A149*Costeo!$C$36)&lt;=5000,15,IF((0*Costeo!$B$36+$A149*Costeo!$C$36)&lt;=10000,60,110)))-10)*Costeo!$B$51,2))+(ROUND((MAX(0,(0*Costeo!$B$130+$A149*Costeo!$C$130+0*Costeo!$D$130+0*Costeo!$E$130)+20*2*2*Costeo!$B$69+30*(1/3600*Costeo!$B$55+5/3600*Costeo!$B$56)-Costeo!$B$58)+IF(AND((0*Costeo!$B$120+$A149*Costeo!$C$120+0*Costeo!$D$120+0*Costeo!$E$120)&lt;=1000000,(0*Costeo!$B$119+$A149*Costeo!$C$119+0*Costeo!$D$119+0*Costeo!$E$119)&lt;=1000),0,IF((0*Costeo!$B$120+$A149*Costeo!$C$120+0*Costeo!$D$120+0*Costeo!$E$120)&lt;=10000000,20,IF((0*Costeo!$B$120+$A149*Costeo!$C$120+0*Costeo!$D$120+0*Costeo!$E$120)&lt;=50000000,100,300)))+MAX(0,ROUNDUP((0*Costeo!$B$36+$A149*Costeo!$C$36+0*Costeo!$D$36+0*Costeo!$E$36)/5000,0)-1)*Costeo!$B$62+IF((0*Costeo!$B$36+$A149*Costeo!$C$36+0*Costeo!$D$36+0*Costeo!$E$36)&gt;5000,32-Costeo!$B$61,0))*Costeo!$B$51,2))))&gt;=0),$A149,1000000000)</f>
        <v>1000000000</v>
      </c>
      <c r="D149" s="121">
        <f>IF(AND($A149*Costeo!$D$36&lt;=10000,(($A149)*$D$11-$B$4-((ROUND((MAX(0,(0*Costeo!$B$117+0*Costeo!$C$117+$A149*Costeo!$D$117+0*Costeo!$E$117)-100)*Costeo!$B$53+MAX(0,(0*Costeo!$B$118+0*Costeo!$C$118+$A149*Costeo!$D$118+0*Costeo!$E$118)-250)*Costeo!$B$52+(MAX(0,ROUNDUP(((0*Costeo!$B$116+0*Costeo!$C$116)+($A149*Costeo!$D$116+0*Costeo!$E$116)*0.05)*2,0)-8)+(0*Costeo!$B$131+0*Costeo!$C$131+$A149*Costeo!$D$131+0*Costeo!$E$131))*Costeo!$B$54+IF((0*Costeo!$B$36+0*Costeo!$C$36)&lt;=2000,10,IF((0*Costeo!$B$36+0*Costeo!$C$36)&lt;=5000,15,IF((0*Costeo!$B$36+0*Costeo!$C$36)&lt;=10000,60,110)))-10)*Costeo!$B$51,2))+(ROUND((MAX(0,(0*Costeo!$B$130+0*Costeo!$C$130+$A149*Costeo!$D$130+0*Costeo!$E$130)+20*2*2*Costeo!$B$69+30*(1/3600*Costeo!$B$55+5/3600*Costeo!$B$56)-Costeo!$B$58)+IF(AND((0*Costeo!$B$120+0*Costeo!$C$120+$A149*Costeo!$D$120+0*Costeo!$E$120)&lt;=1000000,(0*Costeo!$B$119+0*Costeo!$C$119+$A149*Costeo!$D$119+0*Costeo!$E$119)&lt;=1000),0,IF((0*Costeo!$B$120+0*Costeo!$C$120+$A149*Costeo!$D$120+0*Costeo!$E$120)&lt;=10000000,20,IF((0*Costeo!$B$120+0*Costeo!$C$120+$A149*Costeo!$D$120+0*Costeo!$E$120)&lt;=50000000,100,300)))+MAX(0,ROUNDUP((0*Costeo!$B$36+0*Costeo!$C$36+$A149*Costeo!$D$36+0*Costeo!$E$36)/5000,0)-1)*Costeo!$B$62+IF((0*Costeo!$B$36+0*Costeo!$C$36+$A149*Costeo!$D$36+0*Costeo!$E$36)&gt;5000,32-Costeo!$B$61,0))*Costeo!$B$51,2))))&gt;=0),$A149,1000000000)</f>
        <v>1000000000</v>
      </c>
      <c r="E149" s="121">
        <f>IF(AND($A149*Costeo!$E$36&lt;=10000,(($A149)*$D$12-$B$4-((ROUND((MAX(0,(0*Costeo!$B$117+0*Costeo!$C$117+0*Costeo!$D$117+$A149*Costeo!$E$117)-100)*Costeo!$B$53+MAX(0,(0*Costeo!$B$118+0*Costeo!$C$118+0*Costeo!$D$118+$A149*Costeo!$E$118)-250)*Costeo!$B$52+(MAX(0,ROUNDUP(((0*Costeo!$B$116+0*Costeo!$C$116)+(0*Costeo!$D$116+$A149*Costeo!$E$116)*0.05)*2,0)-8)+(0*Costeo!$B$131+0*Costeo!$C$131+0*Costeo!$D$131+$A149*Costeo!$E$131))*Costeo!$B$54+IF((0*Costeo!$B$36+0*Costeo!$C$36)&lt;=2000,10,IF((0*Costeo!$B$36+0*Costeo!$C$36)&lt;=5000,15,IF((0*Costeo!$B$36+0*Costeo!$C$36)&lt;=10000,60,110)))-10)*Costeo!$B$51,2))+(ROUND((MAX(0,(0*Costeo!$B$130+0*Costeo!$C$130+0*Costeo!$D$130+$A149*Costeo!$E$130)+20*2*2*Costeo!$B$69+30*(1/3600*Costeo!$B$55+5/3600*Costeo!$B$56)-Costeo!$B$58)+IF(AND((0*Costeo!$B$120+0*Costeo!$C$120+0*Costeo!$D$120+$A149*Costeo!$E$120)&lt;=1000000,(0*Costeo!$B$119+0*Costeo!$C$119+0*Costeo!$D$119+$A149*Costeo!$E$119)&lt;=1000),0,IF((0*Costeo!$B$120+0*Costeo!$C$120+0*Costeo!$D$120+$A149*Costeo!$E$120)&lt;=10000000,20,IF((0*Costeo!$B$120+0*Costeo!$C$120+0*Costeo!$D$120+$A149*Costeo!$E$120)&lt;=50000000,100,300)))+MAX(0,ROUNDUP((0*Costeo!$B$36+0*Costeo!$C$36+0*Costeo!$D$36+$A149*Costeo!$E$36)/5000,0)-1)*Costeo!$B$62+IF((0*Costeo!$B$36+0*Costeo!$C$36+0*Costeo!$D$36+$A149*Costeo!$E$36)&gt;5000,32-Costeo!$B$61,0))*Costeo!$B$51,2))))&gt;=0),$A149,1000000000)</f>
        <v>1000000000</v>
      </c>
    </row>
    <row r="150" hidden="1" outlineLevel="1" ht="30" customHeight="1" s="61">
      <c r="A150" s="52" t="n">
        <v>99</v>
      </c>
      <c r="B150" s="121">
        <f>IF(AND($A150*Costeo!$B$36&lt;=10000,(($A150)*$D$9-$B$4-((ROUND((MAX(0,($A150*Costeo!$B$117+0*Costeo!$C$117+0*Costeo!$D$117+0*Costeo!$E$117)-100)*Costeo!$B$53+MAX(0,($A150*Costeo!$B$118+0*Costeo!$C$118+0*Costeo!$D$118+0*Costeo!$E$118)-250)*Costeo!$B$52+(MAX(0,ROUNDUP((($A150*Costeo!$B$116+0*Costeo!$C$116)+(0*Costeo!$D$116+0*Costeo!$E$116)*0.05)*2,0)-8)+($A150*Costeo!$B$131+0*Costeo!$C$131+0*Costeo!$D$131+0*Costeo!$E$131))*Costeo!$B$54+IF(($A150*Costeo!$B$36+0*Costeo!$C$36)&lt;=2000,10,IF(($A150*Costeo!$B$36+0*Costeo!$C$36)&lt;=5000,15,IF(($A150*Costeo!$B$36+0*Costeo!$C$36)&lt;=10000,60,110)))-10)*Costeo!$B$51,2))+(ROUND((MAX(0,($A150*Costeo!$B$130+0*Costeo!$C$130+0*Costeo!$D$130+0*Costeo!$E$130)+20*2*2*Costeo!$B$69+30*(1/3600*Costeo!$B$55+5/3600*Costeo!$B$56)-Costeo!$B$58)+IF(AND(($A150*Costeo!$B$120+0*Costeo!$C$120+0*Costeo!$D$120+0*Costeo!$E$120)&lt;=1000000,($A150*Costeo!$B$119+0*Costeo!$C$119+0*Costeo!$D$119+0*Costeo!$E$119)&lt;=1000),0,IF(($A150*Costeo!$B$120+0*Costeo!$C$120+0*Costeo!$D$120+0*Costeo!$E$120)&lt;=10000000,20,IF(($A150*Costeo!$B$120+0*Costeo!$C$120+0*Costeo!$D$120+0*Costeo!$E$120)&lt;=50000000,100,300)))+MAX(0,ROUNDUP(($A150*Costeo!$B$36+0*Costeo!$C$36+0*Costeo!$D$36+0*Costeo!$E$36)/5000,0)-1)*Costeo!$B$62+IF(($A150*Costeo!$B$36+0*Costeo!$C$36+0*Costeo!$D$36+0*Costeo!$E$36)&gt;5000,32-Costeo!$B$61,0))*Costeo!$B$51,2))))&gt;=0),$A150,1000000000)</f>
        <v>99</v>
      </c>
      <c r="C150" s="121">
        <f>IF(AND($A150*Costeo!$C$36&lt;=10000,(($A150)*$D$10-$B$4-((ROUND((MAX(0,(0*Costeo!$B$117+$A150*Costeo!$C$117+0*Costeo!$D$117+0*Costeo!$E$117)-100)*Costeo!$B$53+MAX(0,(0*Costeo!$B$118+$A150*Costeo!$C$118+0*Costeo!$D$118+0*Costeo!$E$118)-250)*Costeo!$B$52+(MAX(0,ROUNDUP(((0*Costeo!$B$116+$A150*Costeo!$C$116)+(0*Costeo!$D$116+0*Costeo!$E$116)*0.05)*2,0)-8)+(0*Costeo!$B$131+$A150*Costeo!$C$131+0*Costeo!$D$131+0*Costeo!$E$131))*Costeo!$B$54+IF((0*Costeo!$B$36+$A150*Costeo!$C$36)&lt;=2000,10,IF((0*Costeo!$B$36+$A150*Costeo!$C$36)&lt;=5000,15,IF((0*Costeo!$B$36+$A150*Costeo!$C$36)&lt;=10000,60,110)))-10)*Costeo!$B$51,2))+(ROUND((MAX(0,(0*Costeo!$B$130+$A150*Costeo!$C$130+0*Costeo!$D$130+0*Costeo!$E$130)+20*2*2*Costeo!$B$69+30*(1/3600*Costeo!$B$55+5/3600*Costeo!$B$56)-Costeo!$B$58)+IF(AND((0*Costeo!$B$120+$A150*Costeo!$C$120+0*Costeo!$D$120+0*Costeo!$E$120)&lt;=1000000,(0*Costeo!$B$119+$A150*Costeo!$C$119+0*Costeo!$D$119+0*Costeo!$E$119)&lt;=1000),0,IF((0*Costeo!$B$120+$A150*Costeo!$C$120+0*Costeo!$D$120+0*Costeo!$E$120)&lt;=10000000,20,IF((0*Costeo!$B$120+$A150*Costeo!$C$120+0*Costeo!$D$120+0*Costeo!$E$120)&lt;=50000000,100,300)))+MAX(0,ROUNDUP((0*Costeo!$B$36+$A150*Costeo!$C$36+0*Costeo!$D$36+0*Costeo!$E$36)/5000,0)-1)*Costeo!$B$62+IF((0*Costeo!$B$36+$A150*Costeo!$C$36+0*Costeo!$D$36+0*Costeo!$E$36)&gt;5000,32-Costeo!$B$61,0))*Costeo!$B$51,2))))&gt;=0),$A150,1000000000)</f>
        <v>1000000000</v>
      </c>
      <c r="D150" s="121">
        <f>IF(AND($A150*Costeo!$D$36&lt;=10000,(($A150)*$D$11-$B$4-((ROUND((MAX(0,(0*Costeo!$B$117+0*Costeo!$C$117+$A150*Costeo!$D$117+0*Costeo!$E$117)-100)*Costeo!$B$53+MAX(0,(0*Costeo!$B$118+0*Costeo!$C$118+$A150*Costeo!$D$118+0*Costeo!$E$118)-250)*Costeo!$B$52+(MAX(0,ROUNDUP(((0*Costeo!$B$116+0*Costeo!$C$116)+($A150*Costeo!$D$116+0*Costeo!$E$116)*0.05)*2,0)-8)+(0*Costeo!$B$131+0*Costeo!$C$131+$A150*Costeo!$D$131+0*Costeo!$E$131))*Costeo!$B$54+IF((0*Costeo!$B$36+0*Costeo!$C$36)&lt;=2000,10,IF((0*Costeo!$B$36+0*Costeo!$C$36)&lt;=5000,15,IF((0*Costeo!$B$36+0*Costeo!$C$36)&lt;=10000,60,110)))-10)*Costeo!$B$51,2))+(ROUND((MAX(0,(0*Costeo!$B$130+0*Costeo!$C$130+$A150*Costeo!$D$130+0*Costeo!$E$130)+20*2*2*Costeo!$B$69+30*(1/3600*Costeo!$B$55+5/3600*Costeo!$B$56)-Costeo!$B$58)+IF(AND((0*Costeo!$B$120+0*Costeo!$C$120+$A150*Costeo!$D$120+0*Costeo!$E$120)&lt;=1000000,(0*Costeo!$B$119+0*Costeo!$C$119+$A150*Costeo!$D$119+0*Costeo!$E$119)&lt;=1000),0,IF((0*Costeo!$B$120+0*Costeo!$C$120+$A150*Costeo!$D$120+0*Costeo!$E$120)&lt;=10000000,20,IF((0*Costeo!$B$120+0*Costeo!$C$120+$A150*Costeo!$D$120+0*Costeo!$E$120)&lt;=50000000,100,300)))+MAX(0,ROUNDUP((0*Costeo!$B$36+0*Costeo!$C$36+$A150*Costeo!$D$36+0*Costeo!$E$36)/5000,0)-1)*Costeo!$B$62+IF((0*Costeo!$B$36+0*Costeo!$C$36+$A150*Costeo!$D$36+0*Costeo!$E$36)&gt;5000,32-Costeo!$B$61,0))*Costeo!$B$51,2))))&gt;=0),$A150,1000000000)</f>
        <v>1000000000</v>
      </c>
      <c r="E150" s="121">
        <f>IF(AND($A150*Costeo!$E$36&lt;=10000,(($A150)*$D$12-$B$4-((ROUND((MAX(0,(0*Costeo!$B$117+0*Costeo!$C$117+0*Costeo!$D$117+$A150*Costeo!$E$117)-100)*Costeo!$B$53+MAX(0,(0*Costeo!$B$118+0*Costeo!$C$118+0*Costeo!$D$118+$A150*Costeo!$E$118)-250)*Costeo!$B$52+(MAX(0,ROUNDUP(((0*Costeo!$B$116+0*Costeo!$C$116)+(0*Costeo!$D$116+$A150*Costeo!$E$116)*0.05)*2,0)-8)+(0*Costeo!$B$131+0*Costeo!$C$131+0*Costeo!$D$131+$A150*Costeo!$E$131))*Costeo!$B$54+IF((0*Costeo!$B$36+0*Costeo!$C$36)&lt;=2000,10,IF((0*Costeo!$B$36+0*Costeo!$C$36)&lt;=5000,15,IF((0*Costeo!$B$36+0*Costeo!$C$36)&lt;=10000,60,110)))-10)*Costeo!$B$51,2))+(ROUND((MAX(0,(0*Costeo!$B$130+0*Costeo!$C$130+0*Costeo!$D$130+$A150*Costeo!$E$130)+20*2*2*Costeo!$B$69+30*(1/3600*Costeo!$B$55+5/3600*Costeo!$B$56)-Costeo!$B$58)+IF(AND((0*Costeo!$B$120+0*Costeo!$C$120+0*Costeo!$D$120+$A150*Costeo!$E$120)&lt;=1000000,(0*Costeo!$B$119+0*Costeo!$C$119+0*Costeo!$D$119+$A150*Costeo!$E$119)&lt;=1000),0,IF((0*Costeo!$B$120+0*Costeo!$C$120+0*Costeo!$D$120+$A150*Costeo!$E$120)&lt;=10000000,20,IF((0*Costeo!$B$120+0*Costeo!$C$120+0*Costeo!$D$120+$A150*Costeo!$E$120)&lt;=50000000,100,300)))+MAX(0,ROUNDUP((0*Costeo!$B$36+0*Costeo!$C$36+0*Costeo!$D$36+$A150*Costeo!$E$36)/5000,0)-1)*Costeo!$B$62+IF((0*Costeo!$B$36+0*Costeo!$C$36+0*Costeo!$D$36+$A150*Costeo!$E$36)&gt;5000,32-Costeo!$B$61,0))*Costeo!$B$51,2))))&gt;=0),$A150,1000000000)</f>
        <v>1000000000</v>
      </c>
    </row>
    <row r="151" hidden="1" outlineLevel="1" ht="30" customHeight="1" s="61">
      <c r="A151" s="52" t="n">
        <v>100</v>
      </c>
      <c r="B151" s="121">
        <f>IF(AND($A151*Costeo!$B$36&lt;=10000,(($A151)*$D$9-$B$4-((ROUND((MAX(0,($A151*Costeo!$B$117+0*Costeo!$C$117+0*Costeo!$D$117+0*Costeo!$E$117)-100)*Costeo!$B$53+MAX(0,($A151*Costeo!$B$118+0*Costeo!$C$118+0*Costeo!$D$118+0*Costeo!$E$118)-250)*Costeo!$B$52+(MAX(0,ROUNDUP((($A151*Costeo!$B$116+0*Costeo!$C$116)+(0*Costeo!$D$116+0*Costeo!$E$116)*0.05)*2,0)-8)+($A151*Costeo!$B$131+0*Costeo!$C$131+0*Costeo!$D$131+0*Costeo!$E$131))*Costeo!$B$54+IF(($A151*Costeo!$B$36+0*Costeo!$C$36)&lt;=2000,10,IF(($A151*Costeo!$B$36+0*Costeo!$C$36)&lt;=5000,15,IF(($A151*Costeo!$B$36+0*Costeo!$C$36)&lt;=10000,60,110)))-10)*Costeo!$B$51,2))+(ROUND((MAX(0,($A151*Costeo!$B$130+0*Costeo!$C$130+0*Costeo!$D$130+0*Costeo!$E$130)+20*2*2*Costeo!$B$69+30*(1/3600*Costeo!$B$55+5/3600*Costeo!$B$56)-Costeo!$B$58)+IF(AND(($A151*Costeo!$B$120+0*Costeo!$C$120+0*Costeo!$D$120+0*Costeo!$E$120)&lt;=1000000,($A151*Costeo!$B$119+0*Costeo!$C$119+0*Costeo!$D$119+0*Costeo!$E$119)&lt;=1000),0,IF(($A151*Costeo!$B$120+0*Costeo!$C$120+0*Costeo!$D$120+0*Costeo!$E$120)&lt;=10000000,20,IF(($A151*Costeo!$B$120+0*Costeo!$C$120+0*Costeo!$D$120+0*Costeo!$E$120)&lt;=50000000,100,300)))+MAX(0,ROUNDUP(($A151*Costeo!$B$36+0*Costeo!$C$36+0*Costeo!$D$36+0*Costeo!$E$36)/5000,0)-1)*Costeo!$B$62+IF(($A151*Costeo!$B$36+0*Costeo!$C$36+0*Costeo!$D$36+0*Costeo!$E$36)&gt;5000,32-Costeo!$B$61,0))*Costeo!$B$51,2))))&gt;=0),$A151,1000000000)</f>
        <v>100</v>
      </c>
      <c r="C151" s="121">
        <f>IF(AND($A151*Costeo!$C$36&lt;=10000,(($A151)*$D$10-$B$4-((ROUND((MAX(0,(0*Costeo!$B$117+$A151*Costeo!$C$117+0*Costeo!$D$117+0*Costeo!$E$117)-100)*Costeo!$B$53+MAX(0,(0*Costeo!$B$118+$A151*Costeo!$C$118+0*Costeo!$D$118+0*Costeo!$E$118)-250)*Costeo!$B$52+(MAX(0,ROUNDUP(((0*Costeo!$B$116+$A151*Costeo!$C$116)+(0*Costeo!$D$116+0*Costeo!$E$116)*0.05)*2,0)-8)+(0*Costeo!$B$131+$A151*Costeo!$C$131+0*Costeo!$D$131+0*Costeo!$E$131))*Costeo!$B$54+IF((0*Costeo!$B$36+$A151*Costeo!$C$36)&lt;=2000,10,IF((0*Costeo!$B$36+$A151*Costeo!$C$36)&lt;=5000,15,IF((0*Costeo!$B$36+$A151*Costeo!$C$36)&lt;=10000,60,110)))-10)*Costeo!$B$51,2))+(ROUND((MAX(0,(0*Costeo!$B$130+$A151*Costeo!$C$130+0*Costeo!$D$130+0*Costeo!$E$130)+20*2*2*Costeo!$B$69+30*(1/3600*Costeo!$B$55+5/3600*Costeo!$B$56)-Costeo!$B$58)+IF(AND((0*Costeo!$B$120+$A151*Costeo!$C$120+0*Costeo!$D$120+0*Costeo!$E$120)&lt;=1000000,(0*Costeo!$B$119+$A151*Costeo!$C$119+0*Costeo!$D$119+0*Costeo!$E$119)&lt;=1000),0,IF((0*Costeo!$B$120+$A151*Costeo!$C$120+0*Costeo!$D$120+0*Costeo!$E$120)&lt;=10000000,20,IF((0*Costeo!$B$120+$A151*Costeo!$C$120+0*Costeo!$D$120+0*Costeo!$E$120)&lt;=50000000,100,300)))+MAX(0,ROUNDUP((0*Costeo!$B$36+$A151*Costeo!$C$36+0*Costeo!$D$36+0*Costeo!$E$36)/5000,0)-1)*Costeo!$B$62+IF((0*Costeo!$B$36+$A151*Costeo!$C$36+0*Costeo!$D$36+0*Costeo!$E$36)&gt;5000,32-Costeo!$B$61,0))*Costeo!$B$51,2))))&gt;=0),$A151,1000000000)</f>
        <v>1000000000</v>
      </c>
      <c r="D151" s="121">
        <f>IF(AND($A151*Costeo!$D$36&lt;=10000,(($A151)*$D$11-$B$4-((ROUND((MAX(0,(0*Costeo!$B$117+0*Costeo!$C$117+$A151*Costeo!$D$117+0*Costeo!$E$117)-100)*Costeo!$B$53+MAX(0,(0*Costeo!$B$118+0*Costeo!$C$118+$A151*Costeo!$D$118+0*Costeo!$E$118)-250)*Costeo!$B$52+(MAX(0,ROUNDUP(((0*Costeo!$B$116+0*Costeo!$C$116)+($A151*Costeo!$D$116+0*Costeo!$E$116)*0.05)*2,0)-8)+(0*Costeo!$B$131+0*Costeo!$C$131+$A151*Costeo!$D$131+0*Costeo!$E$131))*Costeo!$B$54+IF((0*Costeo!$B$36+0*Costeo!$C$36)&lt;=2000,10,IF((0*Costeo!$B$36+0*Costeo!$C$36)&lt;=5000,15,IF((0*Costeo!$B$36+0*Costeo!$C$36)&lt;=10000,60,110)))-10)*Costeo!$B$51,2))+(ROUND((MAX(0,(0*Costeo!$B$130+0*Costeo!$C$130+$A151*Costeo!$D$130+0*Costeo!$E$130)+20*2*2*Costeo!$B$69+30*(1/3600*Costeo!$B$55+5/3600*Costeo!$B$56)-Costeo!$B$58)+IF(AND((0*Costeo!$B$120+0*Costeo!$C$120+$A151*Costeo!$D$120+0*Costeo!$E$120)&lt;=1000000,(0*Costeo!$B$119+0*Costeo!$C$119+$A151*Costeo!$D$119+0*Costeo!$E$119)&lt;=1000),0,IF((0*Costeo!$B$120+0*Costeo!$C$120+$A151*Costeo!$D$120+0*Costeo!$E$120)&lt;=10000000,20,IF((0*Costeo!$B$120+0*Costeo!$C$120+$A151*Costeo!$D$120+0*Costeo!$E$120)&lt;=50000000,100,300)))+MAX(0,ROUNDUP((0*Costeo!$B$36+0*Costeo!$C$36+$A151*Costeo!$D$36+0*Costeo!$E$36)/5000,0)-1)*Costeo!$B$62+IF((0*Costeo!$B$36+0*Costeo!$C$36+$A151*Costeo!$D$36+0*Costeo!$E$36)&gt;5000,32-Costeo!$B$61,0))*Costeo!$B$51,2))))&gt;=0),$A151,1000000000)</f>
        <v>1000000000</v>
      </c>
      <c r="E151" s="121">
        <f>IF(AND($A151*Costeo!$E$36&lt;=10000,(($A151)*$D$12-$B$4-((ROUND((MAX(0,(0*Costeo!$B$117+0*Costeo!$C$117+0*Costeo!$D$117+$A151*Costeo!$E$117)-100)*Costeo!$B$53+MAX(0,(0*Costeo!$B$118+0*Costeo!$C$118+0*Costeo!$D$118+$A151*Costeo!$E$118)-250)*Costeo!$B$52+(MAX(0,ROUNDUP(((0*Costeo!$B$116+0*Costeo!$C$116)+(0*Costeo!$D$116+$A151*Costeo!$E$116)*0.05)*2,0)-8)+(0*Costeo!$B$131+0*Costeo!$C$131+0*Costeo!$D$131+$A151*Costeo!$E$131))*Costeo!$B$54+IF((0*Costeo!$B$36+0*Costeo!$C$36)&lt;=2000,10,IF((0*Costeo!$B$36+0*Costeo!$C$36)&lt;=5000,15,IF((0*Costeo!$B$36+0*Costeo!$C$36)&lt;=10000,60,110)))-10)*Costeo!$B$51,2))+(ROUND((MAX(0,(0*Costeo!$B$130+0*Costeo!$C$130+0*Costeo!$D$130+$A151*Costeo!$E$130)+20*2*2*Costeo!$B$69+30*(1/3600*Costeo!$B$55+5/3600*Costeo!$B$56)-Costeo!$B$58)+IF(AND((0*Costeo!$B$120+0*Costeo!$C$120+0*Costeo!$D$120+$A151*Costeo!$E$120)&lt;=1000000,(0*Costeo!$B$119+0*Costeo!$C$119+0*Costeo!$D$119+$A151*Costeo!$E$119)&lt;=1000),0,IF((0*Costeo!$B$120+0*Costeo!$C$120+0*Costeo!$D$120+$A151*Costeo!$E$120)&lt;=10000000,20,IF((0*Costeo!$B$120+0*Costeo!$C$120+0*Costeo!$D$120+$A151*Costeo!$E$120)&lt;=50000000,100,300)))+MAX(0,ROUNDUP((0*Costeo!$B$36+0*Costeo!$C$36+0*Costeo!$D$36+$A151*Costeo!$E$36)/5000,0)-1)*Costeo!$B$62+IF((0*Costeo!$B$36+0*Costeo!$C$36+0*Costeo!$D$36+$A151*Costeo!$E$36)&gt;5000,32-Costeo!$B$61,0))*Costeo!$B$51,2))))&gt;=0),$A151,1000000000)</f>
        <v>1000000000</v>
      </c>
    </row>
    <row r="152" hidden="1" outlineLevel="1" ht="30" customHeight="1" s="61">
      <c r="A152" s="52" t="n">
        <v>101</v>
      </c>
      <c r="B152" s="121">
        <f>IF(AND($A152*Costeo!$B$36&lt;=10000,(($A152)*$D$9-$B$4-((ROUND((MAX(0,($A152*Costeo!$B$117+0*Costeo!$C$117+0*Costeo!$D$117+0*Costeo!$E$117)-100)*Costeo!$B$53+MAX(0,($A152*Costeo!$B$118+0*Costeo!$C$118+0*Costeo!$D$118+0*Costeo!$E$118)-250)*Costeo!$B$52+(MAX(0,ROUNDUP((($A152*Costeo!$B$116+0*Costeo!$C$116)+(0*Costeo!$D$116+0*Costeo!$E$116)*0.05)*2,0)-8)+($A152*Costeo!$B$131+0*Costeo!$C$131+0*Costeo!$D$131+0*Costeo!$E$131))*Costeo!$B$54+IF(($A152*Costeo!$B$36+0*Costeo!$C$36)&lt;=2000,10,IF(($A152*Costeo!$B$36+0*Costeo!$C$36)&lt;=5000,15,IF(($A152*Costeo!$B$36+0*Costeo!$C$36)&lt;=10000,60,110)))-10)*Costeo!$B$51,2))+(ROUND((MAX(0,($A152*Costeo!$B$130+0*Costeo!$C$130+0*Costeo!$D$130+0*Costeo!$E$130)+20*2*2*Costeo!$B$69+30*(1/3600*Costeo!$B$55+5/3600*Costeo!$B$56)-Costeo!$B$58)+IF(AND(($A152*Costeo!$B$120+0*Costeo!$C$120+0*Costeo!$D$120+0*Costeo!$E$120)&lt;=1000000,($A152*Costeo!$B$119+0*Costeo!$C$119+0*Costeo!$D$119+0*Costeo!$E$119)&lt;=1000),0,IF(($A152*Costeo!$B$120+0*Costeo!$C$120+0*Costeo!$D$120+0*Costeo!$E$120)&lt;=10000000,20,IF(($A152*Costeo!$B$120+0*Costeo!$C$120+0*Costeo!$D$120+0*Costeo!$E$120)&lt;=50000000,100,300)))+MAX(0,ROUNDUP(($A152*Costeo!$B$36+0*Costeo!$C$36+0*Costeo!$D$36+0*Costeo!$E$36)/5000,0)-1)*Costeo!$B$62+IF(($A152*Costeo!$B$36+0*Costeo!$C$36+0*Costeo!$D$36+0*Costeo!$E$36)&gt;5000,32-Costeo!$B$61,0))*Costeo!$B$51,2))))&gt;=0),$A152,1000000000)</f>
        <v>101</v>
      </c>
      <c r="C152" s="121">
        <f>IF(AND($A152*Costeo!$C$36&lt;=10000,(($A152)*$D$10-$B$4-((ROUND((MAX(0,(0*Costeo!$B$117+$A152*Costeo!$C$117+0*Costeo!$D$117+0*Costeo!$E$117)-100)*Costeo!$B$53+MAX(0,(0*Costeo!$B$118+$A152*Costeo!$C$118+0*Costeo!$D$118+0*Costeo!$E$118)-250)*Costeo!$B$52+(MAX(0,ROUNDUP(((0*Costeo!$B$116+$A152*Costeo!$C$116)+(0*Costeo!$D$116+0*Costeo!$E$116)*0.05)*2,0)-8)+(0*Costeo!$B$131+$A152*Costeo!$C$131+0*Costeo!$D$131+0*Costeo!$E$131))*Costeo!$B$54+IF((0*Costeo!$B$36+$A152*Costeo!$C$36)&lt;=2000,10,IF((0*Costeo!$B$36+$A152*Costeo!$C$36)&lt;=5000,15,IF((0*Costeo!$B$36+$A152*Costeo!$C$36)&lt;=10000,60,110)))-10)*Costeo!$B$51,2))+(ROUND((MAX(0,(0*Costeo!$B$130+$A152*Costeo!$C$130+0*Costeo!$D$130+0*Costeo!$E$130)+20*2*2*Costeo!$B$69+30*(1/3600*Costeo!$B$55+5/3600*Costeo!$B$56)-Costeo!$B$58)+IF(AND((0*Costeo!$B$120+$A152*Costeo!$C$120+0*Costeo!$D$120+0*Costeo!$E$120)&lt;=1000000,(0*Costeo!$B$119+$A152*Costeo!$C$119+0*Costeo!$D$119+0*Costeo!$E$119)&lt;=1000),0,IF((0*Costeo!$B$120+$A152*Costeo!$C$120+0*Costeo!$D$120+0*Costeo!$E$120)&lt;=10000000,20,IF((0*Costeo!$B$120+$A152*Costeo!$C$120+0*Costeo!$D$120+0*Costeo!$E$120)&lt;=50000000,100,300)))+MAX(0,ROUNDUP((0*Costeo!$B$36+$A152*Costeo!$C$36+0*Costeo!$D$36+0*Costeo!$E$36)/5000,0)-1)*Costeo!$B$62+IF((0*Costeo!$B$36+$A152*Costeo!$C$36+0*Costeo!$D$36+0*Costeo!$E$36)&gt;5000,32-Costeo!$B$61,0))*Costeo!$B$51,2))))&gt;=0),$A152,1000000000)</f>
        <v>1000000000</v>
      </c>
      <c r="D152" s="121">
        <f>IF(AND($A152*Costeo!$D$36&lt;=10000,(($A152)*$D$11-$B$4-((ROUND((MAX(0,(0*Costeo!$B$117+0*Costeo!$C$117+$A152*Costeo!$D$117+0*Costeo!$E$117)-100)*Costeo!$B$53+MAX(0,(0*Costeo!$B$118+0*Costeo!$C$118+$A152*Costeo!$D$118+0*Costeo!$E$118)-250)*Costeo!$B$52+(MAX(0,ROUNDUP(((0*Costeo!$B$116+0*Costeo!$C$116)+($A152*Costeo!$D$116+0*Costeo!$E$116)*0.05)*2,0)-8)+(0*Costeo!$B$131+0*Costeo!$C$131+$A152*Costeo!$D$131+0*Costeo!$E$131))*Costeo!$B$54+IF((0*Costeo!$B$36+0*Costeo!$C$36)&lt;=2000,10,IF((0*Costeo!$B$36+0*Costeo!$C$36)&lt;=5000,15,IF((0*Costeo!$B$36+0*Costeo!$C$36)&lt;=10000,60,110)))-10)*Costeo!$B$51,2))+(ROUND((MAX(0,(0*Costeo!$B$130+0*Costeo!$C$130+$A152*Costeo!$D$130+0*Costeo!$E$130)+20*2*2*Costeo!$B$69+30*(1/3600*Costeo!$B$55+5/3600*Costeo!$B$56)-Costeo!$B$58)+IF(AND((0*Costeo!$B$120+0*Costeo!$C$120+$A152*Costeo!$D$120+0*Costeo!$E$120)&lt;=1000000,(0*Costeo!$B$119+0*Costeo!$C$119+$A152*Costeo!$D$119+0*Costeo!$E$119)&lt;=1000),0,IF((0*Costeo!$B$120+0*Costeo!$C$120+$A152*Costeo!$D$120+0*Costeo!$E$120)&lt;=10000000,20,IF((0*Costeo!$B$120+0*Costeo!$C$120+$A152*Costeo!$D$120+0*Costeo!$E$120)&lt;=50000000,100,300)))+MAX(0,ROUNDUP((0*Costeo!$B$36+0*Costeo!$C$36+$A152*Costeo!$D$36+0*Costeo!$E$36)/5000,0)-1)*Costeo!$B$62+IF((0*Costeo!$B$36+0*Costeo!$C$36+$A152*Costeo!$D$36+0*Costeo!$E$36)&gt;5000,32-Costeo!$B$61,0))*Costeo!$B$51,2))))&gt;=0),$A152,1000000000)</f>
        <v>1000000000</v>
      </c>
      <c r="E152" s="121">
        <f>IF(AND($A152*Costeo!$E$36&lt;=10000,(($A152)*$D$12-$B$4-((ROUND((MAX(0,(0*Costeo!$B$117+0*Costeo!$C$117+0*Costeo!$D$117+$A152*Costeo!$E$117)-100)*Costeo!$B$53+MAX(0,(0*Costeo!$B$118+0*Costeo!$C$118+0*Costeo!$D$118+$A152*Costeo!$E$118)-250)*Costeo!$B$52+(MAX(0,ROUNDUP(((0*Costeo!$B$116+0*Costeo!$C$116)+(0*Costeo!$D$116+$A152*Costeo!$E$116)*0.05)*2,0)-8)+(0*Costeo!$B$131+0*Costeo!$C$131+0*Costeo!$D$131+$A152*Costeo!$E$131))*Costeo!$B$54+IF((0*Costeo!$B$36+0*Costeo!$C$36)&lt;=2000,10,IF((0*Costeo!$B$36+0*Costeo!$C$36)&lt;=5000,15,IF((0*Costeo!$B$36+0*Costeo!$C$36)&lt;=10000,60,110)))-10)*Costeo!$B$51,2))+(ROUND((MAX(0,(0*Costeo!$B$130+0*Costeo!$C$130+0*Costeo!$D$130+$A152*Costeo!$E$130)+20*2*2*Costeo!$B$69+30*(1/3600*Costeo!$B$55+5/3600*Costeo!$B$56)-Costeo!$B$58)+IF(AND((0*Costeo!$B$120+0*Costeo!$C$120+0*Costeo!$D$120+$A152*Costeo!$E$120)&lt;=1000000,(0*Costeo!$B$119+0*Costeo!$C$119+0*Costeo!$D$119+$A152*Costeo!$E$119)&lt;=1000),0,IF((0*Costeo!$B$120+0*Costeo!$C$120+0*Costeo!$D$120+$A152*Costeo!$E$120)&lt;=10000000,20,IF((0*Costeo!$B$120+0*Costeo!$C$120+0*Costeo!$D$120+$A152*Costeo!$E$120)&lt;=50000000,100,300)))+MAX(0,ROUNDUP((0*Costeo!$B$36+0*Costeo!$C$36+0*Costeo!$D$36+$A152*Costeo!$E$36)/5000,0)-1)*Costeo!$B$62+IF((0*Costeo!$B$36+0*Costeo!$C$36+0*Costeo!$D$36+$A152*Costeo!$E$36)&gt;5000,32-Costeo!$B$61,0))*Costeo!$B$51,2))))&gt;=0),$A152,1000000000)</f>
        <v>1000000000</v>
      </c>
    </row>
    <row r="153" hidden="1" outlineLevel="1" ht="30" customHeight="1" s="61">
      <c r="A153" s="52" t="n">
        <v>102</v>
      </c>
      <c r="B153" s="121">
        <f>IF(AND($A153*Costeo!$B$36&lt;=10000,(($A153)*$D$9-$B$4-((ROUND((MAX(0,($A153*Costeo!$B$117+0*Costeo!$C$117+0*Costeo!$D$117+0*Costeo!$E$117)-100)*Costeo!$B$53+MAX(0,($A153*Costeo!$B$118+0*Costeo!$C$118+0*Costeo!$D$118+0*Costeo!$E$118)-250)*Costeo!$B$52+(MAX(0,ROUNDUP((($A153*Costeo!$B$116+0*Costeo!$C$116)+(0*Costeo!$D$116+0*Costeo!$E$116)*0.05)*2,0)-8)+($A153*Costeo!$B$131+0*Costeo!$C$131+0*Costeo!$D$131+0*Costeo!$E$131))*Costeo!$B$54+IF(($A153*Costeo!$B$36+0*Costeo!$C$36)&lt;=2000,10,IF(($A153*Costeo!$B$36+0*Costeo!$C$36)&lt;=5000,15,IF(($A153*Costeo!$B$36+0*Costeo!$C$36)&lt;=10000,60,110)))-10)*Costeo!$B$51,2))+(ROUND((MAX(0,($A153*Costeo!$B$130+0*Costeo!$C$130+0*Costeo!$D$130+0*Costeo!$E$130)+20*2*2*Costeo!$B$69+30*(1/3600*Costeo!$B$55+5/3600*Costeo!$B$56)-Costeo!$B$58)+IF(AND(($A153*Costeo!$B$120+0*Costeo!$C$120+0*Costeo!$D$120+0*Costeo!$E$120)&lt;=1000000,($A153*Costeo!$B$119+0*Costeo!$C$119+0*Costeo!$D$119+0*Costeo!$E$119)&lt;=1000),0,IF(($A153*Costeo!$B$120+0*Costeo!$C$120+0*Costeo!$D$120+0*Costeo!$E$120)&lt;=10000000,20,IF(($A153*Costeo!$B$120+0*Costeo!$C$120+0*Costeo!$D$120+0*Costeo!$E$120)&lt;=50000000,100,300)))+MAX(0,ROUNDUP(($A153*Costeo!$B$36+0*Costeo!$C$36+0*Costeo!$D$36+0*Costeo!$E$36)/5000,0)-1)*Costeo!$B$62+IF(($A153*Costeo!$B$36+0*Costeo!$C$36+0*Costeo!$D$36+0*Costeo!$E$36)&gt;5000,32-Costeo!$B$61,0))*Costeo!$B$51,2))))&gt;=0),$A153,1000000000)</f>
        <v>102</v>
      </c>
      <c r="C153" s="121">
        <f>IF(AND($A153*Costeo!$C$36&lt;=10000,(($A153)*$D$10-$B$4-((ROUND((MAX(0,(0*Costeo!$B$117+$A153*Costeo!$C$117+0*Costeo!$D$117+0*Costeo!$E$117)-100)*Costeo!$B$53+MAX(0,(0*Costeo!$B$118+$A153*Costeo!$C$118+0*Costeo!$D$118+0*Costeo!$E$118)-250)*Costeo!$B$52+(MAX(0,ROUNDUP(((0*Costeo!$B$116+$A153*Costeo!$C$116)+(0*Costeo!$D$116+0*Costeo!$E$116)*0.05)*2,0)-8)+(0*Costeo!$B$131+$A153*Costeo!$C$131+0*Costeo!$D$131+0*Costeo!$E$131))*Costeo!$B$54+IF((0*Costeo!$B$36+$A153*Costeo!$C$36)&lt;=2000,10,IF((0*Costeo!$B$36+$A153*Costeo!$C$36)&lt;=5000,15,IF((0*Costeo!$B$36+$A153*Costeo!$C$36)&lt;=10000,60,110)))-10)*Costeo!$B$51,2))+(ROUND((MAX(0,(0*Costeo!$B$130+$A153*Costeo!$C$130+0*Costeo!$D$130+0*Costeo!$E$130)+20*2*2*Costeo!$B$69+30*(1/3600*Costeo!$B$55+5/3600*Costeo!$B$56)-Costeo!$B$58)+IF(AND((0*Costeo!$B$120+$A153*Costeo!$C$120+0*Costeo!$D$120+0*Costeo!$E$120)&lt;=1000000,(0*Costeo!$B$119+$A153*Costeo!$C$119+0*Costeo!$D$119+0*Costeo!$E$119)&lt;=1000),0,IF((0*Costeo!$B$120+$A153*Costeo!$C$120+0*Costeo!$D$120+0*Costeo!$E$120)&lt;=10000000,20,IF((0*Costeo!$B$120+$A153*Costeo!$C$120+0*Costeo!$D$120+0*Costeo!$E$120)&lt;=50000000,100,300)))+MAX(0,ROUNDUP((0*Costeo!$B$36+$A153*Costeo!$C$36+0*Costeo!$D$36+0*Costeo!$E$36)/5000,0)-1)*Costeo!$B$62+IF((0*Costeo!$B$36+$A153*Costeo!$C$36+0*Costeo!$D$36+0*Costeo!$E$36)&gt;5000,32-Costeo!$B$61,0))*Costeo!$B$51,2))))&gt;=0),$A153,1000000000)</f>
        <v>1000000000</v>
      </c>
      <c r="D153" s="121">
        <f>IF(AND($A153*Costeo!$D$36&lt;=10000,(($A153)*$D$11-$B$4-((ROUND((MAX(0,(0*Costeo!$B$117+0*Costeo!$C$117+$A153*Costeo!$D$117+0*Costeo!$E$117)-100)*Costeo!$B$53+MAX(0,(0*Costeo!$B$118+0*Costeo!$C$118+$A153*Costeo!$D$118+0*Costeo!$E$118)-250)*Costeo!$B$52+(MAX(0,ROUNDUP(((0*Costeo!$B$116+0*Costeo!$C$116)+($A153*Costeo!$D$116+0*Costeo!$E$116)*0.05)*2,0)-8)+(0*Costeo!$B$131+0*Costeo!$C$131+$A153*Costeo!$D$131+0*Costeo!$E$131))*Costeo!$B$54+IF((0*Costeo!$B$36+0*Costeo!$C$36)&lt;=2000,10,IF((0*Costeo!$B$36+0*Costeo!$C$36)&lt;=5000,15,IF((0*Costeo!$B$36+0*Costeo!$C$36)&lt;=10000,60,110)))-10)*Costeo!$B$51,2))+(ROUND((MAX(0,(0*Costeo!$B$130+0*Costeo!$C$130+$A153*Costeo!$D$130+0*Costeo!$E$130)+20*2*2*Costeo!$B$69+30*(1/3600*Costeo!$B$55+5/3600*Costeo!$B$56)-Costeo!$B$58)+IF(AND((0*Costeo!$B$120+0*Costeo!$C$120+$A153*Costeo!$D$120+0*Costeo!$E$120)&lt;=1000000,(0*Costeo!$B$119+0*Costeo!$C$119+$A153*Costeo!$D$119+0*Costeo!$E$119)&lt;=1000),0,IF((0*Costeo!$B$120+0*Costeo!$C$120+$A153*Costeo!$D$120+0*Costeo!$E$120)&lt;=10000000,20,IF((0*Costeo!$B$120+0*Costeo!$C$120+$A153*Costeo!$D$120+0*Costeo!$E$120)&lt;=50000000,100,300)))+MAX(0,ROUNDUP((0*Costeo!$B$36+0*Costeo!$C$36+$A153*Costeo!$D$36+0*Costeo!$E$36)/5000,0)-1)*Costeo!$B$62+IF((0*Costeo!$B$36+0*Costeo!$C$36+$A153*Costeo!$D$36+0*Costeo!$E$36)&gt;5000,32-Costeo!$B$61,0))*Costeo!$B$51,2))))&gt;=0),$A153,1000000000)</f>
        <v>1000000000</v>
      </c>
      <c r="E153" s="121">
        <f>IF(AND($A153*Costeo!$E$36&lt;=10000,(($A153)*$D$12-$B$4-((ROUND((MAX(0,(0*Costeo!$B$117+0*Costeo!$C$117+0*Costeo!$D$117+$A153*Costeo!$E$117)-100)*Costeo!$B$53+MAX(0,(0*Costeo!$B$118+0*Costeo!$C$118+0*Costeo!$D$118+$A153*Costeo!$E$118)-250)*Costeo!$B$52+(MAX(0,ROUNDUP(((0*Costeo!$B$116+0*Costeo!$C$116)+(0*Costeo!$D$116+$A153*Costeo!$E$116)*0.05)*2,0)-8)+(0*Costeo!$B$131+0*Costeo!$C$131+0*Costeo!$D$131+$A153*Costeo!$E$131))*Costeo!$B$54+IF((0*Costeo!$B$36+0*Costeo!$C$36)&lt;=2000,10,IF((0*Costeo!$B$36+0*Costeo!$C$36)&lt;=5000,15,IF((0*Costeo!$B$36+0*Costeo!$C$36)&lt;=10000,60,110)))-10)*Costeo!$B$51,2))+(ROUND((MAX(0,(0*Costeo!$B$130+0*Costeo!$C$130+0*Costeo!$D$130+$A153*Costeo!$E$130)+20*2*2*Costeo!$B$69+30*(1/3600*Costeo!$B$55+5/3600*Costeo!$B$56)-Costeo!$B$58)+IF(AND((0*Costeo!$B$120+0*Costeo!$C$120+0*Costeo!$D$120+$A153*Costeo!$E$120)&lt;=1000000,(0*Costeo!$B$119+0*Costeo!$C$119+0*Costeo!$D$119+$A153*Costeo!$E$119)&lt;=1000),0,IF((0*Costeo!$B$120+0*Costeo!$C$120+0*Costeo!$D$120+$A153*Costeo!$E$120)&lt;=10000000,20,IF((0*Costeo!$B$120+0*Costeo!$C$120+0*Costeo!$D$120+$A153*Costeo!$E$120)&lt;=50000000,100,300)))+MAX(0,ROUNDUP((0*Costeo!$B$36+0*Costeo!$C$36+0*Costeo!$D$36+$A153*Costeo!$E$36)/5000,0)-1)*Costeo!$B$62+IF((0*Costeo!$B$36+0*Costeo!$C$36+0*Costeo!$D$36+$A153*Costeo!$E$36)&gt;5000,32-Costeo!$B$61,0))*Costeo!$B$51,2))))&gt;=0),$A153,1000000000)</f>
        <v>1000000000</v>
      </c>
    </row>
    <row r="154" hidden="1" outlineLevel="1" ht="30" customHeight="1" s="61">
      <c r="A154" s="52" t="n">
        <v>103</v>
      </c>
      <c r="B154" s="121">
        <f>IF(AND($A154*Costeo!$B$36&lt;=10000,(($A154)*$D$9-$B$4-((ROUND((MAX(0,($A154*Costeo!$B$117+0*Costeo!$C$117+0*Costeo!$D$117+0*Costeo!$E$117)-100)*Costeo!$B$53+MAX(0,($A154*Costeo!$B$118+0*Costeo!$C$118+0*Costeo!$D$118+0*Costeo!$E$118)-250)*Costeo!$B$52+(MAX(0,ROUNDUP((($A154*Costeo!$B$116+0*Costeo!$C$116)+(0*Costeo!$D$116+0*Costeo!$E$116)*0.05)*2,0)-8)+($A154*Costeo!$B$131+0*Costeo!$C$131+0*Costeo!$D$131+0*Costeo!$E$131))*Costeo!$B$54+IF(($A154*Costeo!$B$36+0*Costeo!$C$36)&lt;=2000,10,IF(($A154*Costeo!$B$36+0*Costeo!$C$36)&lt;=5000,15,IF(($A154*Costeo!$B$36+0*Costeo!$C$36)&lt;=10000,60,110)))-10)*Costeo!$B$51,2))+(ROUND((MAX(0,($A154*Costeo!$B$130+0*Costeo!$C$130+0*Costeo!$D$130+0*Costeo!$E$130)+20*2*2*Costeo!$B$69+30*(1/3600*Costeo!$B$55+5/3600*Costeo!$B$56)-Costeo!$B$58)+IF(AND(($A154*Costeo!$B$120+0*Costeo!$C$120+0*Costeo!$D$120+0*Costeo!$E$120)&lt;=1000000,($A154*Costeo!$B$119+0*Costeo!$C$119+0*Costeo!$D$119+0*Costeo!$E$119)&lt;=1000),0,IF(($A154*Costeo!$B$120+0*Costeo!$C$120+0*Costeo!$D$120+0*Costeo!$E$120)&lt;=10000000,20,IF(($A154*Costeo!$B$120+0*Costeo!$C$120+0*Costeo!$D$120+0*Costeo!$E$120)&lt;=50000000,100,300)))+MAX(0,ROUNDUP(($A154*Costeo!$B$36+0*Costeo!$C$36+0*Costeo!$D$36+0*Costeo!$E$36)/5000,0)-1)*Costeo!$B$62+IF(($A154*Costeo!$B$36+0*Costeo!$C$36+0*Costeo!$D$36+0*Costeo!$E$36)&gt;5000,32-Costeo!$B$61,0))*Costeo!$B$51,2))))&gt;=0),$A154,1000000000)</f>
        <v>103</v>
      </c>
      <c r="C154" s="121">
        <f>IF(AND($A154*Costeo!$C$36&lt;=10000,(($A154)*$D$10-$B$4-((ROUND((MAX(0,(0*Costeo!$B$117+$A154*Costeo!$C$117+0*Costeo!$D$117+0*Costeo!$E$117)-100)*Costeo!$B$53+MAX(0,(0*Costeo!$B$118+$A154*Costeo!$C$118+0*Costeo!$D$118+0*Costeo!$E$118)-250)*Costeo!$B$52+(MAX(0,ROUNDUP(((0*Costeo!$B$116+$A154*Costeo!$C$116)+(0*Costeo!$D$116+0*Costeo!$E$116)*0.05)*2,0)-8)+(0*Costeo!$B$131+$A154*Costeo!$C$131+0*Costeo!$D$131+0*Costeo!$E$131))*Costeo!$B$54+IF((0*Costeo!$B$36+$A154*Costeo!$C$36)&lt;=2000,10,IF((0*Costeo!$B$36+$A154*Costeo!$C$36)&lt;=5000,15,IF((0*Costeo!$B$36+$A154*Costeo!$C$36)&lt;=10000,60,110)))-10)*Costeo!$B$51,2))+(ROUND((MAX(0,(0*Costeo!$B$130+$A154*Costeo!$C$130+0*Costeo!$D$130+0*Costeo!$E$130)+20*2*2*Costeo!$B$69+30*(1/3600*Costeo!$B$55+5/3600*Costeo!$B$56)-Costeo!$B$58)+IF(AND((0*Costeo!$B$120+$A154*Costeo!$C$120+0*Costeo!$D$120+0*Costeo!$E$120)&lt;=1000000,(0*Costeo!$B$119+$A154*Costeo!$C$119+0*Costeo!$D$119+0*Costeo!$E$119)&lt;=1000),0,IF((0*Costeo!$B$120+$A154*Costeo!$C$120+0*Costeo!$D$120+0*Costeo!$E$120)&lt;=10000000,20,IF((0*Costeo!$B$120+$A154*Costeo!$C$120+0*Costeo!$D$120+0*Costeo!$E$120)&lt;=50000000,100,300)))+MAX(0,ROUNDUP((0*Costeo!$B$36+$A154*Costeo!$C$36+0*Costeo!$D$36+0*Costeo!$E$36)/5000,0)-1)*Costeo!$B$62+IF((0*Costeo!$B$36+$A154*Costeo!$C$36+0*Costeo!$D$36+0*Costeo!$E$36)&gt;5000,32-Costeo!$B$61,0))*Costeo!$B$51,2))))&gt;=0),$A154,1000000000)</f>
        <v>1000000000</v>
      </c>
      <c r="D154" s="121">
        <f>IF(AND($A154*Costeo!$D$36&lt;=10000,(($A154)*$D$11-$B$4-((ROUND((MAX(0,(0*Costeo!$B$117+0*Costeo!$C$117+$A154*Costeo!$D$117+0*Costeo!$E$117)-100)*Costeo!$B$53+MAX(0,(0*Costeo!$B$118+0*Costeo!$C$118+$A154*Costeo!$D$118+0*Costeo!$E$118)-250)*Costeo!$B$52+(MAX(0,ROUNDUP(((0*Costeo!$B$116+0*Costeo!$C$116)+($A154*Costeo!$D$116+0*Costeo!$E$116)*0.05)*2,0)-8)+(0*Costeo!$B$131+0*Costeo!$C$131+$A154*Costeo!$D$131+0*Costeo!$E$131))*Costeo!$B$54+IF((0*Costeo!$B$36+0*Costeo!$C$36)&lt;=2000,10,IF((0*Costeo!$B$36+0*Costeo!$C$36)&lt;=5000,15,IF((0*Costeo!$B$36+0*Costeo!$C$36)&lt;=10000,60,110)))-10)*Costeo!$B$51,2))+(ROUND((MAX(0,(0*Costeo!$B$130+0*Costeo!$C$130+$A154*Costeo!$D$130+0*Costeo!$E$130)+20*2*2*Costeo!$B$69+30*(1/3600*Costeo!$B$55+5/3600*Costeo!$B$56)-Costeo!$B$58)+IF(AND((0*Costeo!$B$120+0*Costeo!$C$120+$A154*Costeo!$D$120+0*Costeo!$E$120)&lt;=1000000,(0*Costeo!$B$119+0*Costeo!$C$119+$A154*Costeo!$D$119+0*Costeo!$E$119)&lt;=1000),0,IF((0*Costeo!$B$120+0*Costeo!$C$120+$A154*Costeo!$D$120+0*Costeo!$E$120)&lt;=10000000,20,IF((0*Costeo!$B$120+0*Costeo!$C$120+$A154*Costeo!$D$120+0*Costeo!$E$120)&lt;=50000000,100,300)))+MAX(0,ROUNDUP((0*Costeo!$B$36+0*Costeo!$C$36+$A154*Costeo!$D$36+0*Costeo!$E$36)/5000,0)-1)*Costeo!$B$62+IF((0*Costeo!$B$36+0*Costeo!$C$36+$A154*Costeo!$D$36+0*Costeo!$E$36)&gt;5000,32-Costeo!$B$61,0))*Costeo!$B$51,2))))&gt;=0),$A154,1000000000)</f>
        <v>1000000000</v>
      </c>
      <c r="E154" s="121">
        <f>IF(AND($A154*Costeo!$E$36&lt;=10000,(($A154)*$D$12-$B$4-((ROUND((MAX(0,(0*Costeo!$B$117+0*Costeo!$C$117+0*Costeo!$D$117+$A154*Costeo!$E$117)-100)*Costeo!$B$53+MAX(0,(0*Costeo!$B$118+0*Costeo!$C$118+0*Costeo!$D$118+$A154*Costeo!$E$118)-250)*Costeo!$B$52+(MAX(0,ROUNDUP(((0*Costeo!$B$116+0*Costeo!$C$116)+(0*Costeo!$D$116+$A154*Costeo!$E$116)*0.05)*2,0)-8)+(0*Costeo!$B$131+0*Costeo!$C$131+0*Costeo!$D$131+$A154*Costeo!$E$131))*Costeo!$B$54+IF((0*Costeo!$B$36+0*Costeo!$C$36)&lt;=2000,10,IF((0*Costeo!$B$36+0*Costeo!$C$36)&lt;=5000,15,IF((0*Costeo!$B$36+0*Costeo!$C$36)&lt;=10000,60,110)))-10)*Costeo!$B$51,2))+(ROUND((MAX(0,(0*Costeo!$B$130+0*Costeo!$C$130+0*Costeo!$D$130+$A154*Costeo!$E$130)+20*2*2*Costeo!$B$69+30*(1/3600*Costeo!$B$55+5/3600*Costeo!$B$56)-Costeo!$B$58)+IF(AND((0*Costeo!$B$120+0*Costeo!$C$120+0*Costeo!$D$120+$A154*Costeo!$E$120)&lt;=1000000,(0*Costeo!$B$119+0*Costeo!$C$119+0*Costeo!$D$119+$A154*Costeo!$E$119)&lt;=1000),0,IF((0*Costeo!$B$120+0*Costeo!$C$120+0*Costeo!$D$120+$A154*Costeo!$E$120)&lt;=10000000,20,IF((0*Costeo!$B$120+0*Costeo!$C$120+0*Costeo!$D$120+$A154*Costeo!$E$120)&lt;=50000000,100,300)))+MAX(0,ROUNDUP((0*Costeo!$B$36+0*Costeo!$C$36+0*Costeo!$D$36+$A154*Costeo!$E$36)/5000,0)-1)*Costeo!$B$62+IF((0*Costeo!$B$36+0*Costeo!$C$36+0*Costeo!$D$36+$A154*Costeo!$E$36)&gt;5000,32-Costeo!$B$61,0))*Costeo!$B$51,2))))&gt;=0),$A154,1000000000)</f>
        <v>1000000000</v>
      </c>
    </row>
    <row r="155" hidden="1" outlineLevel="1" ht="30" customHeight="1" s="61">
      <c r="A155" s="52" t="n">
        <v>104</v>
      </c>
      <c r="B155" s="121">
        <f>IF(AND($A155*Costeo!$B$36&lt;=10000,(($A155)*$D$9-$B$4-((ROUND((MAX(0,($A155*Costeo!$B$117+0*Costeo!$C$117+0*Costeo!$D$117+0*Costeo!$E$117)-100)*Costeo!$B$53+MAX(0,($A155*Costeo!$B$118+0*Costeo!$C$118+0*Costeo!$D$118+0*Costeo!$E$118)-250)*Costeo!$B$52+(MAX(0,ROUNDUP((($A155*Costeo!$B$116+0*Costeo!$C$116)+(0*Costeo!$D$116+0*Costeo!$E$116)*0.05)*2,0)-8)+($A155*Costeo!$B$131+0*Costeo!$C$131+0*Costeo!$D$131+0*Costeo!$E$131))*Costeo!$B$54+IF(($A155*Costeo!$B$36+0*Costeo!$C$36)&lt;=2000,10,IF(($A155*Costeo!$B$36+0*Costeo!$C$36)&lt;=5000,15,IF(($A155*Costeo!$B$36+0*Costeo!$C$36)&lt;=10000,60,110)))-10)*Costeo!$B$51,2))+(ROUND((MAX(0,($A155*Costeo!$B$130+0*Costeo!$C$130+0*Costeo!$D$130+0*Costeo!$E$130)+20*2*2*Costeo!$B$69+30*(1/3600*Costeo!$B$55+5/3600*Costeo!$B$56)-Costeo!$B$58)+IF(AND(($A155*Costeo!$B$120+0*Costeo!$C$120+0*Costeo!$D$120+0*Costeo!$E$120)&lt;=1000000,($A155*Costeo!$B$119+0*Costeo!$C$119+0*Costeo!$D$119+0*Costeo!$E$119)&lt;=1000),0,IF(($A155*Costeo!$B$120+0*Costeo!$C$120+0*Costeo!$D$120+0*Costeo!$E$120)&lt;=10000000,20,IF(($A155*Costeo!$B$120+0*Costeo!$C$120+0*Costeo!$D$120+0*Costeo!$E$120)&lt;=50000000,100,300)))+MAX(0,ROUNDUP(($A155*Costeo!$B$36+0*Costeo!$C$36+0*Costeo!$D$36+0*Costeo!$E$36)/5000,0)-1)*Costeo!$B$62+IF(($A155*Costeo!$B$36+0*Costeo!$C$36+0*Costeo!$D$36+0*Costeo!$E$36)&gt;5000,32-Costeo!$B$61,0))*Costeo!$B$51,2))))&gt;=0),$A155,1000000000)</f>
        <v>104</v>
      </c>
      <c r="C155" s="121">
        <f>IF(AND($A155*Costeo!$C$36&lt;=10000,(($A155)*$D$10-$B$4-((ROUND((MAX(0,(0*Costeo!$B$117+$A155*Costeo!$C$117+0*Costeo!$D$117+0*Costeo!$E$117)-100)*Costeo!$B$53+MAX(0,(0*Costeo!$B$118+$A155*Costeo!$C$118+0*Costeo!$D$118+0*Costeo!$E$118)-250)*Costeo!$B$52+(MAX(0,ROUNDUP(((0*Costeo!$B$116+$A155*Costeo!$C$116)+(0*Costeo!$D$116+0*Costeo!$E$116)*0.05)*2,0)-8)+(0*Costeo!$B$131+$A155*Costeo!$C$131+0*Costeo!$D$131+0*Costeo!$E$131))*Costeo!$B$54+IF((0*Costeo!$B$36+$A155*Costeo!$C$36)&lt;=2000,10,IF((0*Costeo!$B$36+$A155*Costeo!$C$36)&lt;=5000,15,IF((0*Costeo!$B$36+$A155*Costeo!$C$36)&lt;=10000,60,110)))-10)*Costeo!$B$51,2))+(ROUND((MAX(0,(0*Costeo!$B$130+$A155*Costeo!$C$130+0*Costeo!$D$130+0*Costeo!$E$130)+20*2*2*Costeo!$B$69+30*(1/3600*Costeo!$B$55+5/3600*Costeo!$B$56)-Costeo!$B$58)+IF(AND((0*Costeo!$B$120+$A155*Costeo!$C$120+0*Costeo!$D$120+0*Costeo!$E$120)&lt;=1000000,(0*Costeo!$B$119+$A155*Costeo!$C$119+0*Costeo!$D$119+0*Costeo!$E$119)&lt;=1000),0,IF((0*Costeo!$B$120+$A155*Costeo!$C$120+0*Costeo!$D$120+0*Costeo!$E$120)&lt;=10000000,20,IF((0*Costeo!$B$120+$A155*Costeo!$C$120+0*Costeo!$D$120+0*Costeo!$E$120)&lt;=50000000,100,300)))+MAX(0,ROUNDUP((0*Costeo!$B$36+$A155*Costeo!$C$36+0*Costeo!$D$36+0*Costeo!$E$36)/5000,0)-1)*Costeo!$B$62+IF((0*Costeo!$B$36+$A155*Costeo!$C$36+0*Costeo!$D$36+0*Costeo!$E$36)&gt;5000,32-Costeo!$B$61,0))*Costeo!$B$51,2))))&gt;=0),$A155,1000000000)</f>
        <v>1000000000</v>
      </c>
      <c r="D155" s="121">
        <f>IF(AND($A155*Costeo!$D$36&lt;=10000,(($A155)*$D$11-$B$4-((ROUND((MAX(0,(0*Costeo!$B$117+0*Costeo!$C$117+$A155*Costeo!$D$117+0*Costeo!$E$117)-100)*Costeo!$B$53+MAX(0,(0*Costeo!$B$118+0*Costeo!$C$118+$A155*Costeo!$D$118+0*Costeo!$E$118)-250)*Costeo!$B$52+(MAX(0,ROUNDUP(((0*Costeo!$B$116+0*Costeo!$C$116)+($A155*Costeo!$D$116+0*Costeo!$E$116)*0.05)*2,0)-8)+(0*Costeo!$B$131+0*Costeo!$C$131+$A155*Costeo!$D$131+0*Costeo!$E$131))*Costeo!$B$54+IF((0*Costeo!$B$36+0*Costeo!$C$36)&lt;=2000,10,IF((0*Costeo!$B$36+0*Costeo!$C$36)&lt;=5000,15,IF((0*Costeo!$B$36+0*Costeo!$C$36)&lt;=10000,60,110)))-10)*Costeo!$B$51,2))+(ROUND((MAX(0,(0*Costeo!$B$130+0*Costeo!$C$130+$A155*Costeo!$D$130+0*Costeo!$E$130)+20*2*2*Costeo!$B$69+30*(1/3600*Costeo!$B$55+5/3600*Costeo!$B$56)-Costeo!$B$58)+IF(AND((0*Costeo!$B$120+0*Costeo!$C$120+$A155*Costeo!$D$120+0*Costeo!$E$120)&lt;=1000000,(0*Costeo!$B$119+0*Costeo!$C$119+$A155*Costeo!$D$119+0*Costeo!$E$119)&lt;=1000),0,IF((0*Costeo!$B$120+0*Costeo!$C$120+$A155*Costeo!$D$120+0*Costeo!$E$120)&lt;=10000000,20,IF((0*Costeo!$B$120+0*Costeo!$C$120+$A155*Costeo!$D$120+0*Costeo!$E$120)&lt;=50000000,100,300)))+MAX(0,ROUNDUP((0*Costeo!$B$36+0*Costeo!$C$36+$A155*Costeo!$D$36+0*Costeo!$E$36)/5000,0)-1)*Costeo!$B$62+IF((0*Costeo!$B$36+0*Costeo!$C$36+$A155*Costeo!$D$36+0*Costeo!$E$36)&gt;5000,32-Costeo!$B$61,0))*Costeo!$B$51,2))))&gt;=0),$A155,1000000000)</f>
        <v>1000000000</v>
      </c>
      <c r="E155" s="121">
        <f>IF(AND($A155*Costeo!$E$36&lt;=10000,(($A155)*$D$12-$B$4-((ROUND((MAX(0,(0*Costeo!$B$117+0*Costeo!$C$117+0*Costeo!$D$117+$A155*Costeo!$E$117)-100)*Costeo!$B$53+MAX(0,(0*Costeo!$B$118+0*Costeo!$C$118+0*Costeo!$D$118+$A155*Costeo!$E$118)-250)*Costeo!$B$52+(MAX(0,ROUNDUP(((0*Costeo!$B$116+0*Costeo!$C$116)+(0*Costeo!$D$116+$A155*Costeo!$E$116)*0.05)*2,0)-8)+(0*Costeo!$B$131+0*Costeo!$C$131+0*Costeo!$D$131+$A155*Costeo!$E$131))*Costeo!$B$54+IF((0*Costeo!$B$36+0*Costeo!$C$36)&lt;=2000,10,IF((0*Costeo!$B$36+0*Costeo!$C$36)&lt;=5000,15,IF((0*Costeo!$B$36+0*Costeo!$C$36)&lt;=10000,60,110)))-10)*Costeo!$B$51,2))+(ROUND((MAX(0,(0*Costeo!$B$130+0*Costeo!$C$130+0*Costeo!$D$130+$A155*Costeo!$E$130)+20*2*2*Costeo!$B$69+30*(1/3600*Costeo!$B$55+5/3600*Costeo!$B$56)-Costeo!$B$58)+IF(AND((0*Costeo!$B$120+0*Costeo!$C$120+0*Costeo!$D$120+$A155*Costeo!$E$120)&lt;=1000000,(0*Costeo!$B$119+0*Costeo!$C$119+0*Costeo!$D$119+$A155*Costeo!$E$119)&lt;=1000),0,IF((0*Costeo!$B$120+0*Costeo!$C$120+0*Costeo!$D$120+$A155*Costeo!$E$120)&lt;=10000000,20,IF((0*Costeo!$B$120+0*Costeo!$C$120+0*Costeo!$D$120+$A155*Costeo!$E$120)&lt;=50000000,100,300)))+MAX(0,ROUNDUP((0*Costeo!$B$36+0*Costeo!$C$36+0*Costeo!$D$36+$A155*Costeo!$E$36)/5000,0)-1)*Costeo!$B$62+IF((0*Costeo!$B$36+0*Costeo!$C$36+0*Costeo!$D$36+$A155*Costeo!$E$36)&gt;5000,32-Costeo!$B$61,0))*Costeo!$B$51,2))))&gt;=0),$A155,1000000000)</f>
        <v>1000000000</v>
      </c>
    </row>
    <row r="156" hidden="1" outlineLevel="1" ht="30" customHeight="1" s="61">
      <c r="A156" s="52" t="n">
        <v>105</v>
      </c>
      <c r="B156" s="121">
        <f>IF(AND($A156*Costeo!$B$36&lt;=10000,(($A156)*$D$9-$B$4-((ROUND((MAX(0,($A156*Costeo!$B$117+0*Costeo!$C$117+0*Costeo!$D$117+0*Costeo!$E$117)-100)*Costeo!$B$53+MAX(0,($A156*Costeo!$B$118+0*Costeo!$C$118+0*Costeo!$D$118+0*Costeo!$E$118)-250)*Costeo!$B$52+(MAX(0,ROUNDUP((($A156*Costeo!$B$116+0*Costeo!$C$116)+(0*Costeo!$D$116+0*Costeo!$E$116)*0.05)*2,0)-8)+($A156*Costeo!$B$131+0*Costeo!$C$131+0*Costeo!$D$131+0*Costeo!$E$131))*Costeo!$B$54+IF(($A156*Costeo!$B$36+0*Costeo!$C$36)&lt;=2000,10,IF(($A156*Costeo!$B$36+0*Costeo!$C$36)&lt;=5000,15,IF(($A156*Costeo!$B$36+0*Costeo!$C$36)&lt;=10000,60,110)))-10)*Costeo!$B$51,2))+(ROUND((MAX(0,($A156*Costeo!$B$130+0*Costeo!$C$130+0*Costeo!$D$130+0*Costeo!$E$130)+20*2*2*Costeo!$B$69+30*(1/3600*Costeo!$B$55+5/3600*Costeo!$B$56)-Costeo!$B$58)+IF(AND(($A156*Costeo!$B$120+0*Costeo!$C$120+0*Costeo!$D$120+0*Costeo!$E$120)&lt;=1000000,($A156*Costeo!$B$119+0*Costeo!$C$119+0*Costeo!$D$119+0*Costeo!$E$119)&lt;=1000),0,IF(($A156*Costeo!$B$120+0*Costeo!$C$120+0*Costeo!$D$120+0*Costeo!$E$120)&lt;=10000000,20,IF(($A156*Costeo!$B$120+0*Costeo!$C$120+0*Costeo!$D$120+0*Costeo!$E$120)&lt;=50000000,100,300)))+MAX(0,ROUNDUP(($A156*Costeo!$B$36+0*Costeo!$C$36+0*Costeo!$D$36+0*Costeo!$E$36)/5000,0)-1)*Costeo!$B$62+IF(($A156*Costeo!$B$36+0*Costeo!$C$36+0*Costeo!$D$36+0*Costeo!$E$36)&gt;5000,32-Costeo!$B$61,0))*Costeo!$B$51,2))))&gt;=0),$A156,1000000000)</f>
        <v>105</v>
      </c>
      <c r="C156" s="121">
        <f>IF(AND($A156*Costeo!$C$36&lt;=10000,(($A156)*$D$10-$B$4-((ROUND((MAX(0,(0*Costeo!$B$117+$A156*Costeo!$C$117+0*Costeo!$D$117+0*Costeo!$E$117)-100)*Costeo!$B$53+MAX(0,(0*Costeo!$B$118+$A156*Costeo!$C$118+0*Costeo!$D$118+0*Costeo!$E$118)-250)*Costeo!$B$52+(MAX(0,ROUNDUP(((0*Costeo!$B$116+$A156*Costeo!$C$116)+(0*Costeo!$D$116+0*Costeo!$E$116)*0.05)*2,0)-8)+(0*Costeo!$B$131+$A156*Costeo!$C$131+0*Costeo!$D$131+0*Costeo!$E$131))*Costeo!$B$54+IF((0*Costeo!$B$36+$A156*Costeo!$C$36)&lt;=2000,10,IF((0*Costeo!$B$36+$A156*Costeo!$C$36)&lt;=5000,15,IF((0*Costeo!$B$36+$A156*Costeo!$C$36)&lt;=10000,60,110)))-10)*Costeo!$B$51,2))+(ROUND((MAX(0,(0*Costeo!$B$130+$A156*Costeo!$C$130+0*Costeo!$D$130+0*Costeo!$E$130)+20*2*2*Costeo!$B$69+30*(1/3600*Costeo!$B$55+5/3600*Costeo!$B$56)-Costeo!$B$58)+IF(AND((0*Costeo!$B$120+$A156*Costeo!$C$120+0*Costeo!$D$120+0*Costeo!$E$120)&lt;=1000000,(0*Costeo!$B$119+$A156*Costeo!$C$119+0*Costeo!$D$119+0*Costeo!$E$119)&lt;=1000),0,IF((0*Costeo!$B$120+$A156*Costeo!$C$120+0*Costeo!$D$120+0*Costeo!$E$120)&lt;=10000000,20,IF((0*Costeo!$B$120+$A156*Costeo!$C$120+0*Costeo!$D$120+0*Costeo!$E$120)&lt;=50000000,100,300)))+MAX(0,ROUNDUP((0*Costeo!$B$36+$A156*Costeo!$C$36+0*Costeo!$D$36+0*Costeo!$E$36)/5000,0)-1)*Costeo!$B$62+IF((0*Costeo!$B$36+$A156*Costeo!$C$36+0*Costeo!$D$36+0*Costeo!$E$36)&gt;5000,32-Costeo!$B$61,0))*Costeo!$B$51,2))))&gt;=0),$A156,1000000000)</f>
        <v>1000000000</v>
      </c>
      <c r="D156" s="121">
        <f>IF(AND($A156*Costeo!$D$36&lt;=10000,(($A156)*$D$11-$B$4-((ROUND((MAX(0,(0*Costeo!$B$117+0*Costeo!$C$117+$A156*Costeo!$D$117+0*Costeo!$E$117)-100)*Costeo!$B$53+MAX(0,(0*Costeo!$B$118+0*Costeo!$C$118+$A156*Costeo!$D$118+0*Costeo!$E$118)-250)*Costeo!$B$52+(MAX(0,ROUNDUP(((0*Costeo!$B$116+0*Costeo!$C$116)+($A156*Costeo!$D$116+0*Costeo!$E$116)*0.05)*2,0)-8)+(0*Costeo!$B$131+0*Costeo!$C$131+$A156*Costeo!$D$131+0*Costeo!$E$131))*Costeo!$B$54+IF((0*Costeo!$B$36+0*Costeo!$C$36)&lt;=2000,10,IF((0*Costeo!$B$36+0*Costeo!$C$36)&lt;=5000,15,IF((0*Costeo!$B$36+0*Costeo!$C$36)&lt;=10000,60,110)))-10)*Costeo!$B$51,2))+(ROUND((MAX(0,(0*Costeo!$B$130+0*Costeo!$C$130+$A156*Costeo!$D$130+0*Costeo!$E$130)+20*2*2*Costeo!$B$69+30*(1/3600*Costeo!$B$55+5/3600*Costeo!$B$56)-Costeo!$B$58)+IF(AND((0*Costeo!$B$120+0*Costeo!$C$120+$A156*Costeo!$D$120+0*Costeo!$E$120)&lt;=1000000,(0*Costeo!$B$119+0*Costeo!$C$119+$A156*Costeo!$D$119+0*Costeo!$E$119)&lt;=1000),0,IF((0*Costeo!$B$120+0*Costeo!$C$120+$A156*Costeo!$D$120+0*Costeo!$E$120)&lt;=10000000,20,IF((0*Costeo!$B$120+0*Costeo!$C$120+$A156*Costeo!$D$120+0*Costeo!$E$120)&lt;=50000000,100,300)))+MAX(0,ROUNDUP((0*Costeo!$B$36+0*Costeo!$C$36+$A156*Costeo!$D$36+0*Costeo!$E$36)/5000,0)-1)*Costeo!$B$62+IF((0*Costeo!$B$36+0*Costeo!$C$36+$A156*Costeo!$D$36+0*Costeo!$E$36)&gt;5000,32-Costeo!$B$61,0))*Costeo!$B$51,2))))&gt;=0),$A156,1000000000)</f>
        <v>1000000000</v>
      </c>
      <c r="E156" s="121">
        <f>IF(AND($A156*Costeo!$E$36&lt;=10000,(($A156)*$D$12-$B$4-((ROUND((MAX(0,(0*Costeo!$B$117+0*Costeo!$C$117+0*Costeo!$D$117+$A156*Costeo!$E$117)-100)*Costeo!$B$53+MAX(0,(0*Costeo!$B$118+0*Costeo!$C$118+0*Costeo!$D$118+$A156*Costeo!$E$118)-250)*Costeo!$B$52+(MAX(0,ROUNDUP(((0*Costeo!$B$116+0*Costeo!$C$116)+(0*Costeo!$D$116+$A156*Costeo!$E$116)*0.05)*2,0)-8)+(0*Costeo!$B$131+0*Costeo!$C$131+0*Costeo!$D$131+$A156*Costeo!$E$131))*Costeo!$B$54+IF((0*Costeo!$B$36+0*Costeo!$C$36)&lt;=2000,10,IF((0*Costeo!$B$36+0*Costeo!$C$36)&lt;=5000,15,IF((0*Costeo!$B$36+0*Costeo!$C$36)&lt;=10000,60,110)))-10)*Costeo!$B$51,2))+(ROUND((MAX(0,(0*Costeo!$B$130+0*Costeo!$C$130+0*Costeo!$D$130+$A156*Costeo!$E$130)+20*2*2*Costeo!$B$69+30*(1/3600*Costeo!$B$55+5/3600*Costeo!$B$56)-Costeo!$B$58)+IF(AND((0*Costeo!$B$120+0*Costeo!$C$120+0*Costeo!$D$120+$A156*Costeo!$E$120)&lt;=1000000,(0*Costeo!$B$119+0*Costeo!$C$119+0*Costeo!$D$119+$A156*Costeo!$E$119)&lt;=1000),0,IF((0*Costeo!$B$120+0*Costeo!$C$120+0*Costeo!$D$120+$A156*Costeo!$E$120)&lt;=10000000,20,IF((0*Costeo!$B$120+0*Costeo!$C$120+0*Costeo!$D$120+$A156*Costeo!$E$120)&lt;=50000000,100,300)))+MAX(0,ROUNDUP((0*Costeo!$B$36+0*Costeo!$C$36+0*Costeo!$D$36+$A156*Costeo!$E$36)/5000,0)-1)*Costeo!$B$62+IF((0*Costeo!$B$36+0*Costeo!$C$36+0*Costeo!$D$36+$A156*Costeo!$E$36)&gt;5000,32-Costeo!$B$61,0))*Costeo!$B$51,2))))&gt;=0),$A156,1000000000)</f>
        <v>1000000000</v>
      </c>
    </row>
    <row r="157" hidden="1" outlineLevel="1" ht="30" customHeight="1" s="61">
      <c r="A157" s="52" t="n">
        <v>106</v>
      </c>
      <c r="B157" s="121">
        <f>IF(AND($A157*Costeo!$B$36&lt;=10000,(($A157)*$D$9-$B$4-((ROUND((MAX(0,($A157*Costeo!$B$117+0*Costeo!$C$117+0*Costeo!$D$117+0*Costeo!$E$117)-100)*Costeo!$B$53+MAX(0,($A157*Costeo!$B$118+0*Costeo!$C$118+0*Costeo!$D$118+0*Costeo!$E$118)-250)*Costeo!$B$52+(MAX(0,ROUNDUP((($A157*Costeo!$B$116+0*Costeo!$C$116)+(0*Costeo!$D$116+0*Costeo!$E$116)*0.05)*2,0)-8)+($A157*Costeo!$B$131+0*Costeo!$C$131+0*Costeo!$D$131+0*Costeo!$E$131))*Costeo!$B$54+IF(($A157*Costeo!$B$36+0*Costeo!$C$36)&lt;=2000,10,IF(($A157*Costeo!$B$36+0*Costeo!$C$36)&lt;=5000,15,IF(($A157*Costeo!$B$36+0*Costeo!$C$36)&lt;=10000,60,110)))-10)*Costeo!$B$51,2))+(ROUND((MAX(0,($A157*Costeo!$B$130+0*Costeo!$C$130+0*Costeo!$D$130+0*Costeo!$E$130)+20*2*2*Costeo!$B$69+30*(1/3600*Costeo!$B$55+5/3600*Costeo!$B$56)-Costeo!$B$58)+IF(AND(($A157*Costeo!$B$120+0*Costeo!$C$120+0*Costeo!$D$120+0*Costeo!$E$120)&lt;=1000000,($A157*Costeo!$B$119+0*Costeo!$C$119+0*Costeo!$D$119+0*Costeo!$E$119)&lt;=1000),0,IF(($A157*Costeo!$B$120+0*Costeo!$C$120+0*Costeo!$D$120+0*Costeo!$E$120)&lt;=10000000,20,IF(($A157*Costeo!$B$120+0*Costeo!$C$120+0*Costeo!$D$120+0*Costeo!$E$120)&lt;=50000000,100,300)))+MAX(0,ROUNDUP(($A157*Costeo!$B$36+0*Costeo!$C$36+0*Costeo!$D$36+0*Costeo!$E$36)/5000,0)-1)*Costeo!$B$62+IF(($A157*Costeo!$B$36+0*Costeo!$C$36+0*Costeo!$D$36+0*Costeo!$E$36)&gt;5000,32-Costeo!$B$61,0))*Costeo!$B$51,2))))&gt;=0),$A157,1000000000)</f>
        <v>106</v>
      </c>
      <c r="C157" s="121">
        <f>IF(AND($A157*Costeo!$C$36&lt;=10000,(($A157)*$D$10-$B$4-((ROUND((MAX(0,(0*Costeo!$B$117+$A157*Costeo!$C$117+0*Costeo!$D$117+0*Costeo!$E$117)-100)*Costeo!$B$53+MAX(0,(0*Costeo!$B$118+$A157*Costeo!$C$118+0*Costeo!$D$118+0*Costeo!$E$118)-250)*Costeo!$B$52+(MAX(0,ROUNDUP(((0*Costeo!$B$116+$A157*Costeo!$C$116)+(0*Costeo!$D$116+0*Costeo!$E$116)*0.05)*2,0)-8)+(0*Costeo!$B$131+$A157*Costeo!$C$131+0*Costeo!$D$131+0*Costeo!$E$131))*Costeo!$B$54+IF((0*Costeo!$B$36+$A157*Costeo!$C$36)&lt;=2000,10,IF((0*Costeo!$B$36+$A157*Costeo!$C$36)&lt;=5000,15,IF((0*Costeo!$B$36+$A157*Costeo!$C$36)&lt;=10000,60,110)))-10)*Costeo!$B$51,2))+(ROUND((MAX(0,(0*Costeo!$B$130+$A157*Costeo!$C$130+0*Costeo!$D$130+0*Costeo!$E$130)+20*2*2*Costeo!$B$69+30*(1/3600*Costeo!$B$55+5/3600*Costeo!$B$56)-Costeo!$B$58)+IF(AND((0*Costeo!$B$120+$A157*Costeo!$C$120+0*Costeo!$D$120+0*Costeo!$E$120)&lt;=1000000,(0*Costeo!$B$119+$A157*Costeo!$C$119+0*Costeo!$D$119+0*Costeo!$E$119)&lt;=1000),0,IF((0*Costeo!$B$120+$A157*Costeo!$C$120+0*Costeo!$D$120+0*Costeo!$E$120)&lt;=10000000,20,IF((0*Costeo!$B$120+$A157*Costeo!$C$120+0*Costeo!$D$120+0*Costeo!$E$120)&lt;=50000000,100,300)))+MAX(0,ROUNDUP((0*Costeo!$B$36+$A157*Costeo!$C$36+0*Costeo!$D$36+0*Costeo!$E$36)/5000,0)-1)*Costeo!$B$62+IF((0*Costeo!$B$36+$A157*Costeo!$C$36+0*Costeo!$D$36+0*Costeo!$E$36)&gt;5000,32-Costeo!$B$61,0))*Costeo!$B$51,2))))&gt;=0),$A157,1000000000)</f>
        <v>1000000000</v>
      </c>
      <c r="D157" s="121">
        <f>IF(AND($A157*Costeo!$D$36&lt;=10000,(($A157)*$D$11-$B$4-((ROUND((MAX(0,(0*Costeo!$B$117+0*Costeo!$C$117+$A157*Costeo!$D$117+0*Costeo!$E$117)-100)*Costeo!$B$53+MAX(0,(0*Costeo!$B$118+0*Costeo!$C$118+$A157*Costeo!$D$118+0*Costeo!$E$118)-250)*Costeo!$B$52+(MAX(0,ROUNDUP(((0*Costeo!$B$116+0*Costeo!$C$116)+($A157*Costeo!$D$116+0*Costeo!$E$116)*0.05)*2,0)-8)+(0*Costeo!$B$131+0*Costeo!$C$131+$A157*Costeo!$D$131+0*Costeo!$E$131))*Costeo!$B$54+IF((0*Costeo!$B$36+0*Costeo!$C$36)&lt;=2000,10,IF((0*Costeo!$B$36+0*Costeo!$C$36)&lt;=5000,15,IF((0*Costeo!$B$36+0*Costeo!$C$36)&lt;=10000,60,110)))-10)*Costeo!$B$51,2))+(ROUND((MAX(0,(0*Costeo!$B$130+0*Costeo!$C$130+$A157*Costeo!$D$130+0*Costeo!$E$130)+20*2*2*Costeo!$B$69+30*(1/3600*Costeo!$B$55+5/3600*Costeo!$B$56)-Costeo!$B$58)+IF(AND((0*Costeo!$B$120+0*Costeo!$C$120+$A157*Costeo!$D$120+0*Costeo!$E$120)&lt;=1000000,(0*Costeo!$B$119+0*Costeo!$C$119+$A157*Costeo!$D$119+0*Costeo!$E$119)&lt;=1000),0,IF((0*Costeo!$B$120+0*Costeo!$C$120+$A157*Costeo!$D$120+0*Costeo!$E$120)&lt;=10000000,20,IF((0*Costeo!$B$120+0*Costeo!$C$120+$A157*Costeo!$D$120+0*Costeo!$E$120)&lt;=50000000,100,300)))+MAX(0,ROUNDUP((0*Costeo!$B$36+0*Costeo!$C$36+$A157*Costeo!$D$36+0*Costeo!$E$36)/5000,0)-1)*Costeo!$B$62+IF((0*Costeo!$B$36+0*Costeo!$C$36+$A157*Costeo!$D$36+0*Costeo!$E$36)&gt;5000,32-Costeo!$B$61,0))*Costeo!$B$51,2))))&gt;=0),$A157,1000000000)</f>
        <v>1000000000</v>
      </c>
      <c r="E157" s="121">
        <f>IF(AND($A157*Costeo!$E$36&lt;=10000,(($A157)*$D$12-$B$4-((ROUND((MAX(0,(0*Costeo!$B$117+0*Costeo!$C$117+0*Costeo!$D$117+$A157*Costeo!$E$117)-100)*Costeo!$B$53+MAX(0,(0*Costeo!$B$118+0*Costeo!$C$118+0*Costeo!$D$118+$A157*Costeo!$E$118)-250)*Costeo!$B$52+(MAX(0,ROUNDUP(((0*Costeo!$B$116+0*Costeo!$C$116)+(0*Costeo!$D$116+$A157*Costeo!$E$116)*0.05)*2,0)-8)+(0*Costeo!$B$131+0*Costeo!$C$131+0*Costeo!$D$131+$A157*Costeo!$E$131))*Costeo!$B$54+IF((0*Costeo!$B$36+0*Costeo!$C$36)&lt;=2000,10,IF((0*Costeo!$B$36+0*Costeo!$C$36)&lt;=5000,15,IF((0*Costeo!$B$36+0*Costeo!$C$36)&lt;=10000,60,110)))-10)*Costeo!$B$51,2))+(ROUND((MAX(0,(0*Costeo!$B$130+0*Costeo!$C$130+0*Costeo!$D$130+$A157*Costeo!$E$130)+20*2*2*Costeo!$B$69+30*(1/3600*Costeo!$B$55+5/3600*Costeo!$B$56)-Costeo!$B$58)+IF(AND((0*Costeo!$B$120+0*Costeo!$C$120+0*Costeo!$D$120+$A157*Costeo!$E$120)&lt;=1000000,(0*Costeo!$B$119+0*Costeo!$C$119+0*Costeo!$D$119+$A157*Costeo!$E$119)&lt;=1000),0,IF((0*Costeo!$B$120+0*Costeo!$C$120+0*Costeo!$D$120+$A157*Costeo!$E$120)&lt;=10000000,20,IF((0*Costeo!$B$120+0*Costeo!$C$120+0*Costeo!$D$120+$A157*Costeo!$E$120)&lt;=50000000,100,300)))+MAX(0,ROUNDUP((0*Costeo!$B$36+0*Costeo!$C$36+0*Costeo!$D$36+$A157*Costeo!$E$36)/5000,0)-1)*Costeo!$B$62+IF((0*Costeo!$B$36+0*Costeo!$C$36+0*Costeo!$D$36+$A157*Costeo!$E$36)&gt;5000,32-Costeo!$B$61,0))*Costeo!$B$51,2))))&gt;=0),$A157,1000000000)</f>
        <v>1000000000</v>
      </c>
    </row>
    <row r="158" hidden="1" outlineLevel="1" ht="30" customHeight="1" s="61">
      <c r="A158" s="52" t="n">
        <v>107</v>
      </c>
      <c r="B158" s="121">
        <f>IF(AND($A158*Costeo!$B$36&lt;=10000,(($A158)*$D$9-$B$4-((ROUND((MAX(0,($A158*Costeo!$B$117+0*Costeo!$C$117+0*Costeo!$D$117+0*Costeo!$E$117)-100)*Costeo!$B$53+MAX(0,($A158*Costeo!$B$118+0*Costeo!$C$118+0*Costeo!$D$118+0*Costeo!$E$118)-250)*Costeo!$B$52+(MAX(0,ROUNDUP((($A158*Costeo!$B$116+0*Costeo!$C$116)+(0*Costeo!$D$116+0*Costeo!$E$116)*0.05)*2,0)-8)+($A158*Costeo!$B$131+0*Costeo!$C$131+0*Costeo!$D$131+0*Costeo!$E$131))*Costeo!$B$54+IF(($A158*Costeo!$B$36+0*Costeo!$C$36)&lt;=2000,10,IF(($A158*Costeo!$B$36+0*Costeo!$C$36)&lt;=5000,15,IF(($A158*Costeo!$B$36+0*Costeo!$C$36)&lt;=10000,60,110)))-10)*Costeo!$B$51,2))+(ROUND((MAX(0,($A158*Costeo!$B$130+0*Costeo!$C$130+0*Costeo!$D$130+0*Costeo!$E$130)+20*2*2*Costeo!$B$69+30*(1/3600*Costeo!$B$55+5/3600*Costeo!$B$56)-Costeo!$B$58)+IF(AND(($A158*Costeo!$B$120+0*Costeo!$C$120+0*Costeo!$D$120+0*Costeo!$E$120)&lt;=1000000,($A158*Costeo!$B$119+0*Costeo!$C$119+0*Costeo!$D$119+0*Costeo!$E$119)&lt;=1000),0,IF(($A158*Costeo!$B$120+0*Costeo!$C$120+0*Costeo!$D$120+0*Costeo!$E$120)&lt;=10000000,20,IF(($A158*Costeo!$B$120+0*Costeo!$C$120+0*Costeo!$D$120+0*Costeo!$E$120)&lt;=50000000,100,300)))+MAX(0,ROUNDUP(($A158*Costeo!$B$36+0*Costeo!$C$36+0*Costeo!$D$36+0*Costeo!$E$36)/5000,0)-1)*Costeo!$B$62+IF(($A158*Costeo!$B$36+0*Costeo!$C$36+0*Costeo!$D$36+0*Costeo!$E$36)&gt;5000,32-Costeo!$B$61,0))*Costeo!$B$51,2))))&gt;=0),$A158,1000000000)</f>
        <v>107</v>
      </c>
      <c r="C158" s="121">
        <f>IF(AND($A158*Costeo!$C$36&lt;=10000,(($A158)*$D$10-$B$4-((ROUND((MAX(0,(0*Costeo!$B$117+$A158*Costeo!$C$117+0*Costeo!$D$117+0*Costeo!$E$117)-100)*Costeo!$B$53+MAX(0,(0*Costeo!$B$118+$A158*Costeo!$C$118+0*Costeo!$D$118+0*Costeo!$E$118)-250)*Costeo!$B$52+(MAX(0,ROUNDUP(((0*Costeo!$B$116+$A158*Costeo!$C$116)+(0*Costeo!$D$116+0*Costeo!$E$116)*0.05)*2,0)-8)+(0*Costeo!$B$131+$A158*Costeo!$C$131+0*Costeo!$D$131+0*Costeo!$E$131))*Costeo!$B$54+IF((0*Costeo!$B$36+$A158*Costeo!$C$36)&lt;=2000,10,IF((0*Costeo!$B$36+$A158*Costeo!$C$36)&lt;=5000,15,IF((0*Costeo!$B$36+$A158*Costeo!$C$36)&lt;=10000,60,110)))-10)*Costeo!$B$51,2))+(ROUND((MAX(0,(0*Costeo!$B$130+$A158*Costeo!$C$130+0*Costeo!$D$130+0*Costeo!$E$130)+20*2*2*Costeo!$B$69+30*(1/3600*Costeo!$B$55+5/3600*Costeo!$B$56)-Costeo!$B$58)+IF(AND((0*Costeo!$B$120+$A158*Costeo!$C$120+0*Costeo!$D$120+0*Costeo!$E$120)&lt;=1000000,(0*Costeo!$B$119+$A158*Costeo!$C$119+0*Costeo!$D$119+0*Costeo!$E$119)&lt;=1000),0,IF((0*Costeo!$B$120+$A158*Costeo!$C$120+0*Costeo!$D$120+0*Costeo!$E$120)&lt;=10000000,20,IF((0*Costeo!$B$120+$A158*Costeo!$C$120+0*Costeo!$D$120+0*Costeo!$E$120)&lt;=50000000,100,300)))+MAX(0,ROUNDUP((0*Costeo!$B$36+$A158*Costeo!$C$36+0*Costeo!$D$36+0*Costeo!$E$36)/5000,0)-1)*Costeo!$B$62+IF((0*Costeo!$B$36+$A158*Costeo!$C$36+0*Costeo!$D$36+0*Costeo!$E$36)&gt;5000,32-Costeo!$B$61,0))*Costeo!$B$51,2))))&gt;=0),$A158,1000000000)</f>
        <v>1000000000</v>
      </c>
      <c r="D158" s="121">
        <f>IF(AND($A158*Costeo!$D$36&lt;=10000,(($A158)*$D$11-$B$4-((ROUND((MAX(0,(0*Costeo!$B$117+0*Costeo!$C$117+$A158*Costeo!$D$117+0*Costeo!$E$117)-100)*Costeo!$B$53+MAX(0,(0*Costeo!$B$118+0*Costeo!$C$118+$A158*Costeo!$D$118+0*Costeo!$E$118)-250)*Costeo!$B$52+(MAX(0,ROUNDUP(((0*Costeo!$B$116+0*Costeo!$C$116)+($A158*Costeo!$D$116+0*Costeo!$E$116)*0.05)*2,0)-8)+(0*Costeo!$B$131+0*Costeo!$C$131+$A158*Costeo!$D$131+0*Costeo!$E$131))*Costeo!$B$54+IF((0*Costeo!$B$36+0*Costeo!$C$36)&lt;=2000,10,IF((0*Costeo!$B$36+0*Costeo!$C$36)&lt;=5000,15,IF((0*Costeo!$B$36+0*Costeo!$C$36)&lt;=10000,60,110)))-10)*Costeo!$B$51,2))+(ROUND((MAX(0,(0*Costeo!$B$130+0*Costeo!$C$130+$A158*Costeo!$D$130+0*Costeo!$E$130)+20*2*2*Costeo!$B$69+30*(1/3600*Costeo!$B$55+5/3600*Costeo!$B$56)-Costeo!$B$58)+IF(AND((0*Costeo!$B$120+0*Costeo!$C$120+$A158*Costeo!$D$120+0*Costeo!$E$120)&lt;=1000000,(0*Costeo!$B$119+0*Costeo!$C$119+$A158*Costeo!$D$119+0*Costeo!$E$119)&lt;=1000),0,IF((0*Costeo!$B$120+0*Costeo!$C$120+$A158*Costeo!$D$120+0*Costeo!$E$120)&lt;=10000000,20,IF((0*Costeo!$B$120+0*Costeo!$C$120+$A158*Costeo!$D$120+0*Costeo!$E$120)&lt;=50000000,100,300)))+MAX(0,ROUNDUP((0*Costeo!$B$36+0*Costeo!$C$36+$A158*Costeo!$D$36+0*Costeo!$E$36)/5000,0)-1)*Costeo!$B$62+IF((0*Costeo!$B$36+0*Costeo!$C$36+$A158*Costeo!$D$36+0*Costeo!$E$36)&gt;5000,32-Costeo!$B$61,0))*Costeo!$B$51,2))))&gt;=0),$A158,1000000000)</f>
        <v>1000000000</v>
      </c>
      <c r="E158" s="121">
        <f>IF(AND($A158*Costeo!$E$36&lt;=10000,(($A158)*$D$12-$B$4-((ROUND((MAX(0,(0*Costeo!$B$117+0*Costeo!$C$117+0*Costeo!$D$117+$A158*Costeo!$E$117)-100)*Costeo!$B$53+MAX(0,(0*Costeo!$B$118+0*Costeo!$C$118+0*Costeo!$D$118+$A158*Costeo!$E$118)-250)*Costeo!$B$52+(MAX(0,ROUNDUP(((0*Costeo!$B$116+0*Costeo!$C$116)+(0*Costeo!$D$116+$A158*Costeo!$E$116)*0.05)*2,0)-8)+(0*Costeo!$B$131+0*Costeo!$C$131+0*Costeo!$D$131+$A158*Costeo!$E$131))*Costeo!$B$54+IF((0*Costeo!$B$36+0*Costeo!$C$36)&lt;=2000,10,IF((0*Costeo!$B$36+0*Costeo!$C$36)&lt;=5000,15,IF((0*Costeo!$B$36+0*Costeo!$C$36)&lt;=10000,60,110)))-10)*Costeo!$B$51,2))+(ROUND((MAX(0,(0*Costeo!$B$130+0*Costeo!$C$130+0*Costeo!$D$130+$A158*Costeo!$E$130)+20*2*2*Costeo!$B$69+30*(1/3600*Costeo!$B$55+5/3600*Costeo!$B$56)-Costeo!$B$58)+IF(AND((0*Costeo!$B$120+0*Costeo!$C$120+0*Costeo!$D$120+$A158*Costeo!$E$120)&lt;=1000000,(0*Costeo!$B$119+0*Costeo!$C$119+0*Costeo!$D$119+$A158*Costeo!$E$119)&lt;=1000),0,IF((0*Costeo!$B$120+0*Costeo!$C$120+0*Costeo!$D$120+$A158*Costeo!$E$120)&lt;=10000000,20,IF((0*Costeo!$B$120+0*Costeo!$C$120+0*Costeo!$D$120+$A158*Costeo!$E$120)&lt;=50000000,100,300)))+MAX(0,ROUNDUP((0*Costeo!$B$36+0*Costeo!$C$36+0*Costeo!$D$36+$A158*Costeo!$E$36)/5000,0)-1)*Costeo!$B$62+IF((0*Costeo!$B$36+0*Costeo!$C$36+0*Costeo!$D$36+$A158*Costeo!$E$36)&gt;5000,32-Costeo!$B$61,0))*Costeo!$B$51,2))))&gt;=0),$A158,1000000000)</f>
        <v>1000000000</v>
      </c>
    </row>
    <row r="159" hidden="1" outlineLevel="1" ht="30" customHeight="1" s="61">
      <c r="A159" s="52" t="n">
        <v>108</v>
      </c>
      <c r="B159" s="121">
        <f>IF(AND($A159*Costeo!$B$36&lt;=10000,(($A159)*$D$9-$B$4-((ROUND((MAX(0,($A159*Costeo!$B$117+0*Costeo!$C$117+0*Costeo!$D$117+0*Costeo!$E$117)-100)*Costeo!$B$53+MAX(0,($A159*Costeo!$B$118+0*Costeo!$C$118+0*Costeo!$D$118+0*Costeo!$E$118)-250)*Costeo!$B$52+(MAX(0,ROUNDUP((($A159*Costeo!$B$116+0*Costeo!$C$116)+(0*Costeo!$D$116+0*Costeo!$E$116)*0.05)*2,0)-8)+($A159*Costeo!$B$131+0*Costeo!$C$131+0*Costeo!$D$131+0*Costeo!$E$131))*Costeo!$B$54+IF(($A159*Costeo!$B$36+0*Costeo!$C$36)&lt;=2000,10,IF(($A159*Costeo!$B$36+0*Costeo!$C$36)&lt;=5000,15,IF(($A159*Costeo!$B$36+0*Costeo!$C$36)&lt;=10000,60,110)))-10)*Costeo!$B$51,2))+(ROUND((MAX(0,($A159*Costeo!$B$130+0*Costeo!$C$130+0*Costeo!$D$130+0*Costeo!$E$130)+20*2*2*Costeo!$B$69+30*(1/3600*Costeo!$B$55+5/3600*Costeo!$B$56)-Costeo!$B$58)+IF(AND(($A159*Costeo!$B$120+0*Costeo!$C$120+0*Costeo!$D$120+0*Costeo!$E$120)&lt;=1000000,($A159*Costeo!$B$119+0*Costeo!$C$119+0*Costeo!$D$119+0*Costeo!$E$119)&lt;=1000),0,IF(($A159*Costeo!$B$120+0*Costeo!$C$120+0*Costeo!$D$120+0*Costeo!$E$120)&lt;=10000000,20,IF(($A159*Costeo!$B$120+0*Costeo!$C$120+0*Costeo!$D$120+0*Costeo!$E$120)&lt;=50000000,100,300)))+MAX(0,ROUNDUP(($A159*Costeo!$B$36+0*Costeo!$C$36+0*Costeo!$D$36+0*Costeo!$E$36)/5000,0)-1)*Costeo!$B$62+IF(($A159*Costeo!$B$36+0*Costeo!$C$36+0*Costeo!$D$36+0*Costeo!$E$36)&gt;5000,32-Costeo!$B$61,0))*Costeo!$B$51,2))))&gt;=0),$A159,1000000000)</f>
        <v>108</v>
      </c>
      <c r="C159" s="121">
        <f>IF(AND($A159*Costeo!$C$36&lt;=10000,(($A159)*$D$10-$B$4-((ROUND((MAX(0,(0*Costeo!$B$117+$A159*Costeo!$C$117+0*Costeo!$D$117+0*Costeo!$E$117)-100)*Costeo!$B$53+MAX(0,(0*Costeo!$B$118+$A159*Costeo!$C$118+0*Costeo!$D$118+0*Costeo!$E$118)-250)*Costeo!$B$52+(MAX(0,ROUNDUP(((0*Costeo!$B$116+$A159*Costeo!$C$116)+(0*Costeo!$D$116+0*Costeo!$E$116)*0.05)*2,0)-8)+(0*Costeo!$B$131+$A159*Costeo!$C$131+0*Costeo!$D$131+0*Costeo!$E$131))*Costeo!$B$54+IF((0*Costeo!$B$36+$A159*Costeo!$C$36)&lt;=2000,10,IF((0*Costeo!$B$36+$A159*Costeo!$C$36)&lt;=5000,15,IF((0*Costeo!$B$36+$A159*Costeo!$C$36)&lt;=10000,60,110)))-10)*Costeo!$B$51,2))+(ROUND((MAX(0,(0*Costeo!$B$130+$A159*Costeo!$C$130+0*Costeo!$D$130+0*Costeo!$E$130)+20*2*2*Costeo!$B$69+30*(1/3600*Costeo!$B$55+5/3600*Costeo!$B$56)-Costeo!$B$58)+IF(AND((0*Costeo!$B$120+$A159*Costeo!$C$120+0*Costeo!$D$120+0*Costeo!$E$120)&lt;=1000000,(0*Costeo!$B$119+$A159*Costeo!$C$119+0*Costeo!$D$119+0*Costeo!$E$119)&lt;=1000),0,IF((0*Costeo!$B$120+$A159*Costeo!$C$120+0*Costeo!$D$120+0*Costeo!$E$120)&lt;=10000000,20,IF((0*Costeo!$B$120+$A159*Costeo!$C$120+0*Costeo!$D$120+0*Costeo!$E$120)&lt;=50000000,100,300)))+MAX(0,ROUNDUP((0*Costeo!$B$36+$A159*Costeo!$C$36+0*Costeo!$D$36+0*Costeo!$E$36)/5000,0)-1)*Costeo!$B$62+IF((0*Costeo!$B$36+$A159*Costeo!$C$36+0*Costeo!$D$36+0*Costeo!$E$36)&gt;5000,32-Costeo!$B$61,0))*Costeo!$B$51,2))))&gt;=0),$A159,1000000000)</f>
        <v>1000000000</v>
      </c>
      <c r="D159" s="121">
        <f>IF(AND($A159*Costeo!$D$36&lt;=10000,(($A159)*$D$11-$B$4-((ROUND((MAX(0,(0*Costeo!$B$117+0*Costeo!$C$117+$A159*Costeo!$D$117+0*Costeo!$E$117)-100)*Costeo!$B$53+MAX(0,(0*Costeo!$B$118+0*Costeo!$C$118+$A159*Costeo!$D$118+0*Costeo!$E$118)-250)*Costeo!$B$52+(MAX(0,ROUNDUP(((0*Costeo!$B$116+0*Costeo!$C$116)+($A159*Costeo!$D$116+0*Costeo!$E$116)*0.05)*2,0)-8)+(0*Costeo!$B$131+0*Costeo!$C$131+$A159*Costeo!$D$131+0*Costeo!$E$131))*Costeo!$B$54+IF((0*Costeo!$B$36+0*Costeo!$C$36)&lt;=2000,10,IF((0*Costeo!$B$36+0*Costeo!$C$36)&lt;=5000,15,IF((0*Costeo!$B$36+0*Costeo!$C$36)&lt;=10000,60,110)))-10)*Costeo!$B$51,2))+(ROUND((MAX(0,(0*Costeo!$B$130+0*Costeo!$C$130+$A159*Costeo!$D$130+0*Costeo!$E$130)+20*2*2*Costeo!$B$69+30*(1/3600*Costeo!$B$55+5/3600*Costeo!$B$56)-Costeo!$B$58)+IF(AND((0*Costeo!$B$120+0*Costeo!$C$120+$A159*Costeo!$D$120+0*Costeo!$E$120)&lt;=1000000,(0*Costeo!$B$119+0*Costeo!$C$119+$A159*Costeo!$D$119+0*Costeo!$E$119)&lt;=1000),0,IF((0*Costeo!$B$120+0*Costeo!$C$120+$A159*Costeo!$D$120+0*Costeo!$E$120)&lt;=10000000,20,IF((0*Costeo!$B$120+0*Costeo!$C$120+$A159*Costeo!$D$120+0*Costeo!$E$120)&lt;=50000000,100,300)))+MAX(0,ROUNDUP((0*Costeo!$B$36+0*Costeo!$C$36+$A159*Costeo!$D$36+0*Costeo!$E$36)/5000,0)-1)*Costeo!$B$62+IF((0*Costeo!$B$36+0*Costeo!$C$36+$A159*Costeo!$D$36+0*Costeo!$E$36)&gt;5000,32-Costeo!$B$61,0))*Costeo!$B$51,2))))&gt;=0),$A159,1000000000)</f>
        <v>1000000000</v>
      </c>
      <c r="E159" s="121">
        <f>IF(AND($A159*Costeo!$E$36&lt;=10000,(($A159)*$D$12-$B$4-((ROUND((MAX(0,(0*Costeo!$B$117+0*Costeo!$C$117+0*Costeo!$D$117+$A159*Costeo!$E$117)-100)*Costeo!$B$53+MAX(0,(0*Costeo!$B$118+0*Costeo!$C$118+0*Costeo!$D$118+$A159*Costeo!$E$118)-250)*Costeo!$B$52+(MAX(0,ROUNDUP(((0*Costeo!$B$116+0*Costeo!$C$116)+(0*Costeo!$D$116+$A159*Costeo!$E$116)*0.05)*2,0)-8)+(0*Costeo!$B$131+0*Costeo!$C$131+0*Costeo!$D$131+$A159*Costeo!$E$131))*Costeo!$B$54+IF((0*Costeo!$B$36+0*Costeo!$C$36)&lt;=2000,10,IF((0*Costeo!$B$36+0*Costeo!$C$36)&lt;=5000,15,IF((0*Costeo!$B$36+0*Costeo!$C$36)&lt;=10000,60,110)))-10)*Costeo!$B$51,2))+(ROUND((MAX(0,(0*Costeo!$B$130+0*Costeo!$C$130+0*Costeo!$D$130+$A159*Costeo!$E$130)+20*2*2*Costeo!$B$69+30*(1/3600*Costeo!$B$55+5/3600*Costeo!$B$56)-Costeo!$B$58)+IF(AND((0*Costeo!$B$120+0*Costeo!$C$120+0*Costeo!$D$120+$A159*Costeo!$E$120)&lt;=1000000,(0*Costeo!$B$119+0*Costeo!$C$119+0*Costeo!$D$119+$A159*Costeo!$E$119)&lt;=1000),0,IF((0*Costeo!$B$120+0*Costeo!$C$120+0*Costeo!$D$120+$A159*Costeo!$E$120)&lt;=10000000,20,IF((0*Costeo!$B$120+0*Costeo!$C$120+0*Costeo!$D$120+$A159*Costeo!$E$120)&lt;=50000000,100,300)))+MAX(0,ROUNDUP((0*Costeo!$B$36+0*Costeo!$C$36+0*Costeo!$D$36+$A159*Costeo!$E$36)/5000,0)-1)*Costeo!$B$62+IF((0*Costeo!$B$36+0*Costeo!$C$36+0*Costeo!$D$36+$A159*Costeo!$E$36)&gt;5000,32-Costeo!$B$61,0))*Costeo!$B$51,2))))&gt;=0),$A159,1000000000)</f>
        <v>1000000000</v>
      </c>
    </row>
    <row r="160" hidden="1" outlineLevel="1" ht="30" customHeight="1" s="61">
      <c r="A160" s="52" t="n">
        <v>109</v>
      </c>
      <c r="B160" s="121">
        <f>IF(AND($A160*Costeo!$B$36&lt;=10000,(($A160)*$D$9-$B$4-((ROUND((MAX(0,($A160*Costeo!$B$117+0*Costeo!$C$117+0*Costeo!$D$117+0*Costeo!$E$117)-100)*Costeo!$B$53+MAX(0,($A160*Costeo!$B$118+0*Costeo!$C$118+0*Costeo!$D$118+0*Costeo!$E$118)-250)*Costeo!$B$52+(MAX(0,ROUNDUP((($A160*Costeo!$B$116+0*Costeo!$C$116)+(0*Costeo!$D$116+0*Costeo!$E$116)*0.05)*2,0)-8)+($A160*Costeo!$B$131+0*Costeo!$C$131+0*Costeo!$D$131+0*Costeo!$E$131))*Costeo!$B$54+IF(($A160*Costeo!$B$36+0*Costeo!$C$36)&lt;=2000,10,IF(($A160*Costeo!$B$36+0*Costeo!$C$36)&lt;=5000,15,IF(($A160*Costeo!$B$36+0*Costeo!$C$36)&lt;=10000,60,110)))-10)*Costeo!$B$51,2))+(ROUND((MAX(0,($A160*Costeo!$B$130+0*Costeo!$C$130+0*Costeo!$D$130+0*Costeo!$E$130)+20*2*2*Costeo!$B$69+30*(1/3600*Costeo!$B$55+5/3600*Costeo!$B$56)-Costeo!$B$58)+IF(AND(($A160*Costeo!$B$120+0*Costeo!$C$120+0*Costeo!$D$120+0*Costeo!$E$120)&lt;=1000000,($A160*Costeo!$B$119+0*Costeo!$C$119+0*Costeo!$D$119+0*Costeo!$E$119)&lt;=1000),0,IF(($A160*Costeo!$B$120+0*Costeo!$C$120+0*Costeo!$D$120+0*Costeo!$E$120)&lt;=10000000,20,IF(($A160*Costeo!$B$120+0*Costeo!$C$120+0*Costeo!$D$120+0*Costeo!$E$120)&lt;=50000000,100,300)))+MAX(0,ROUNDUP(($A160*Costeo!$B$36+0*Costeo!$C$36+0*Costeo!$D$36+0*Costeo!$E$36)/5000,0)-1)*Costeo!$B$62+IF(($A160*Costeo!$B$36+0*Costeo!$C$36+0*Costeo!$D$36+0*Costeo!$E$36)&gt;5000,32-Costeo!$B$61,0))*Costeo!$B$51,2))))&gt;=0),$A160,1000000000)</f>
        <v>109</v>
      </c>
      <c r="C160" s="121">
        <f>IF(AND($A160*Costeo!$C$36&lt;=10000,(($A160)*$D$10-$B$4-((ROUND((MAX(0,(0*Costeo!$B$117+$A160*Costeo!$C$117+0*Costeo!$D$117+0*Costeo!$E$117)-100)*Costeo!$B$53+MAX(0,(0*Costeo!$B$118+$A160*Costeo!$C$118+0*Costeo!$D$118+0*Costeo!$E$118)-250)*Costeo!$B$52+(MAX(0,ROUNDUP(((0*Costeo!$B$116+$A160*Costeo!$C$116)+(0*Costeo!$D$116+0*Costeo!$E$116)*0.05)*2,0)-8)+(0*Costeo!$B$131+$A160*Costeo!$C$131+0*Costeo!$D$131+0*Costeo!$E$131))*Costeo!$B$54+IF((0*Costeo!$B$36+$A160*Costeo!$C$36)&lt;=2000,10,IF((0*Costeo!$B$36+$A160*Costeo!$C$36)&lt;=5000,15,IF((0*Costeo!$B$36+$A160*Costeo!$C$36)&lt;=10000,60,110)))-10)*Costeo!$B$51,2))+(ROUND((MAX(0,(0*Costeo!$B$130+$A160*Costeo!$C$130+0*Costeo!$D$130+0*Costeo!$E$130)+20*2*2*Costeo!$B$69+30*(1/3600*Costeo!$B$55+5/3600*Costeo!$B$56)-Costeo!$B$58)+IF(AND((0*Costeo!$B$120+$A160*Costeo!$C$120+0*Costeo!$D$120+0*Costeo!$E$120)&lt;=1000000,(0*Costeo!$B$119+$A160*Costeo!$C$119+0*Costeo!$D$119+0*Costeo!$E$119)&lt;=1000),0,IF((0*Costeo!$B$120+$A160*Costeo!$C$120+0*Costeo!$D$120+0*Costeo!$E$120)&lt;=10000000,20,IF((0*Costeo!$B$120+$A160*Costeo!$C$120+0*Costeo!$D$120+0*Costeo!$E$120)&lt;=50000000,100,300)))+MAX(0,ROUNDUP((0*Costeo!$B$36+$A160*Costeo!$C$36+0*Costeo!$D$36+0*Costeo!$E$36)/5000,0)-1)*Costeo!$B$62+IF((0*Costeo!$B$36+$A160*Costeo!$C$36+0*Costeo!$D$36+0*Costeo!$E$36)&gt;5000,32-Costeo!$B$61,0))*Costeo!$B$51,2))))&gt;=0),$A160,1000000000)</f>
        <v>1000000000</v>
      </c>
      <c r="D160" s="121">
        <f>IF(AND($A160*Costeo!$D$36&lt;=10000,(($A160)*$D$11-$B$4-((ROUND((MAX(0,(0*Costeo!$B$117+0*Costeo!$C$117+$A160*Costeo!$D$117+0*Costeo!$E$117)-100)*Costeo!$B$53+MAX(0,(0*Costeo!$B$118+0*Costeo!$C$118+$A160*Costeo!$D$118+0*Costeo!$E$118)-250)*Costeo!$B$52+(MAX(0,ROUNDUP(((0*Costeo!$B$116+0*Costeo!$C$116)+($A160*Costeo!$D$116+0*Costeo!$E$116)*0.05)*2,0)-8)+(0*Costeo!$B$131+0*Costeo!$C$131+$A160*Costeo!$D$131+0*Costeo!$E$131))*Costeo!$B$54+IF((0*Costeo!$B$36+0*Costeo!$C$36)&lt;=2000,10,IF((0*Costeo!$B$36+0*Costeo!$C$36)&lt;=5000,15,IF((0*Costeo!$B$36+0*Costeo!$C$36)&lt;=10000,60,110)))-10)*Costeo!$B$51,2))+(ROUND((MAX(0,(0*Costeo!$B$130+0*Costeo!$C$130+$A160*Costeo!$D$130+0*Costeo!$E$130)+20*2*2*Costeo!$B$69+30*(1/3600*Costeo!$B$55+5/3600*Costeo!$B$56)-Costeo!$B$58)+IF(AND((0*Costeo!$B$120+0*Costeo!$C$120+$A160*Costeo!$D$120+0*Costeo!$E$120)&lt;=1000000,(0*Costeo!$B$119+0*Costeo!$C$119+$A160*Costeo!$D$119+0*Costeo!$E$119)&lt;=1000),0,IF((0*Costeo!$B$120+0*Costeo!$C$120+$A160*Costeo!$D$120+0*Costeo!$E$120)&lt;=10000000,20,IF((0*Costeo!$B$120+0*Costeo!$C$120+$A160*Costeo!$D$120+0*Costeo!$E$120)&lt;=50000000,100,300)))+MAX(0,ROUNDUP((0*Costeo!$B$36+0*Costeo!$C$36+$A160*Costeo!$D$36+0*Costeo!$E$36)/5000,0)-1)*Costeo!$B$62+IF((0*Costeo!$B$36+0*Costeo!$C$36+$A160*Costeo!$D$36+0*Costeo!$E$36)&gt;5000,32-Costeo!$B$61,0))*Costeo!$B$51,2))))&gt;=0),$A160,1000000000)</f>
        <v>1000000000</v>
      </c>
      <c r="E160" s="121">
        <f>IF(AND($A160*Costeo!$E$36&lt;=10000,(($A160)*$D$12-$B$4-((ROUND((MAX(0,(0*Costeo!$B$117+0*Costeo!$C$117+0*Costeo!$D$117+$A160*Costeo!$E$117)-100)*Costeo!$B$53+MAX(0,(0*Costeo!$B$118+0*Costeo!$C$118+0*Costeo!$D$118+$A160*Costeo!$E$118)-250)*Costeo!$B$52+(MAX(0,ROUNDUP(((0*Costeo!$B$116+0*Costeo!$C$116)+(0*Costeo!$D$116+$A160*Costeo!$E$116)*0.05)*2,0)-8)+(0*Costeo!$B$131+0*Costeo!$C$131+0*Costeo!$D$131+$A160*Costeo!$E$131))*Costeo!$B$54+IF((0*Costeo!$B$36+0*Costeo!$C$36)&lt;=2000,10,IF((0*Costeo!$B$36+0*Costeo!$C$36)&lt;=5000,15,IF((0*Costeo!$B$36+0*Costeo!$C$36)&lt;=10000,60,110)))-10)*Costeo!$B$51,2))+(ROUND((MAX(0,(0*Costeo!$B$130+0*Costeo!$C$130+0*Costeo!$D$130+$A160*Costeo!$E$130)+20*2*2*Costeo!$B$69+30*(1/3600*Costeo!$B$55+5/3600*Costeo!$B$56)-Costeo!$B$58)+IF(AND((0*Costeo!$B$120+0*Costeo!$C$120+0*Costeo!$D$120+$A160*Costeo!$E$120)&lt;=1000000,(0*Costeo!$B$119+0*Costeo!$C$119+0*Costeo!$D$119+$A160*Costeo!$E$119)&lt;=1000),0,IF((0*Costeo!$B$120+0*Costeo!$C$120+0*Costeo!$D$120+$A160*Costeo!$E$120)&lt;=10000000,20,IF((0*Costeo!$B$120+0*Costeo!$C$120+0*Costeo!$D$120+$A160*Costeo!$E$120)&lt;=50000000,100,300)))+MAX(0,ROUNDUP((0*Costeo!$B$36+0*Costeo!$C$36+0*Costeo!$D$36+$A160*Costeo!$E$36)/5000,0)-1)*Costeo!$B$62+IF((0*Costeo!$B$36+0*Costeo!$C$36+0*Costeo!$D$36+$A160*Costeo!$E$36)&gt;5000,32-Costeo!$B$61,0))*Costeo!$B$51,2))))&gt;=0),$A160,1000000000)</f>
        <v>1000000000</v>
      </c>
    </row>
    <row r="161" hidden="1" outlineLevel="1" ht="30" customHeight="1" s="61">
      <c r="A161" s="52" t="n">
        <v>110</v>
      </c>
      <c r="B161" s="121">
        <f>IF(AND($A161*Costeo!$B$36&lt;=10000,(($A161)*$D$9-$B$4-((ROUND((MAX(0,($A161*Costeo!$B$117+0*Costeo!$C$117+0*Costeo!$D$117+0*Costeo!$E$117)-100)*Costeo!$B$53+MAX(0,($A161*Costeo!$B$118+0*Costeo!$C$118+0*Costeo!$D$118+0*Costeo!$E$118)-250)*Costeo!$B$52+(MAX(0,ROUNDUP((($A161*Costeo!$B$116+0*Costeo!$C$116)+(0*Costeo!$D$116+0*Costeo!$E$116)*0.05)*2,0)-8)+($A161*Costeo!$B$131+0*Costeo!$C$131+0*Costeo!$D$131+0*Costeo!$E$131))*Costeo!$B$54+IF(($A161*Costeo!$B$36+0*Costeo!$C$36)&lt;=2000,10,IF(($A161*Costeo!$B$36+0*Costeo!$C$36)&lt;=5000,15,IF(($A161*Costeo!$B$36+0*Costeo!$C$36)&lt;=10000,60,110)))-10)*Costeo!$B$51,2))+(ROUND((MAX(0,($A161*Costeo!$B$130+0*Costeo!$C$130+0*Costeo!$D$130+0*Costeo!$E$130)+20*2*2*Costeo!$B$69+30*(1/3600*Costeo!$B$55+5/3600*Costeo!$B$56)-Costeo!$B$58)+IF(AND(($A161*Costeo!$B$120+0*Costeo!$C$120+0*Costeo!$D$120+0*Costeo!$E$120)&lt;=1000000,($A161*Costeo!$B$119+0*Costeo!$C$119+0*Costeo!$D$119+0*Costeo!$E$119)&lt;=1000),0,IF(($A161*Costeo!$B$120+0*Costeo!$C$120+0*Costeo!$D$120+0*Costeo!$E$120)&lt;=10000000,20,IF(($A161*Costeo!$B$120+0*Costeo!$C$120+0*Costeo!$D$120+0*Costeo!$E$120)&lt;=50000000,100,300)))+MAX(0,ROUNDUP(($A161*Costeo!$B$36+0*Costeo!$C$36+0*Costeo!$D$36+0*Costeo!$E$36)/5000,0)-1)*Costeo!$B$62+IF(($A161*Costeo!$B$36+0*Costeo!$C$36+0*Costeo!$D$36+0*Costeo!$E$36)&gt;5000,32-Costeo!$B$61,0))*Costeo!$B$51,2))))&gt;=0),$A161,1000000000)</f>
        <v>110</v>
      </c>
      <c r="C161" s="121">
        <f>IF(AND($A161*Costeo!$C$36&lt;=10000,(($A161)*$D$10-$B$4-((ROUND((MAX(0,(0*Costeo!$B$117+$A161*Costeo!$C$117+0*Costeo!$D$117+0*Costeo!$E$117)-100)*Costeo!$B$53+MAX(0,(0*Costeo!$B$118+$A161*Costeo!$C$118+0*Costeo!$D$118+0*Costeo!$E$118)-250)*Costeo!$B$52+(MAX(0,ROUNDUP(((0*Costeo!$B$116+$A161*Costeo!$C$116)+(0*Costeo!$D$116+0*Costeo!$E$116)*0.05)*2,0)-8)+(0*Costeo!$B$131+$A161*Costeo!$C$131+0*Costeo!$D$131+0*Costeo!$E$131))*Costeo!$B$54+IF((0*Costeo!$B$36+$A161*Costeo!$C$36)&lt;=2000,10,IF((0*Costeo!$B$36+$A161*Costeo!$C$36)&lt;=5000,15,IF((0*Costeo!$B$36+$A161*Costeo!$C$36)&lt;=10000,60,110)))-10)*Costeo!$B$51,2))+(ROUND((MAX(0,(0*Costeo!$B$130+$A161*Costeo!$C$130+0*Costeo!$D$130+0*Costeo!$E$130)+20*2*2*Costeo!$B$69+30*(1/3600*Costeo!$B$55+5/3600*Costeo!$B$56)-Costeo!$B$58)+IF(AND((0*Costeo!$B$120+$A161*Costeo!$C$120+0*Costeo!$D$120+0*Costeo!$E$120)&lt;=1000000,(0*Costeo!$B$119+$A161*Costeo!$C$119+0*Costeo!$D$119+0*Costeo!$E$119)&lt;=1000),0,IF((0*Costeo!$B$120+$A161*Costeo!$C$120+0*Costeo!$D$120+0*Costeo!$E$120)&lt;=10000000,20,IF((0*Costeo!$B$120+$A161*Costeo!$C$120+0*Costeo!$D$120+0*Costeo!$E$120)&lt;=50000000,100,300)))+MAX(0,ROUNDUP((0*Costeo!$B$36+$A161*Costeo!$C$36+0*Costeo!$D$36+0*Costeo!$E$36)/5000,0)-1)*Costeo!$B$62+IF((0*Costeo!$B$36+$A161*Costeo!$C$36+0*Costeo!$D$36+0*Costeo!$E$36)&gt;5000,32-Costeo!$B$61,0))*Costeo!$B$51,2))))&gt;=0),$A161,1000000000)</f>
        <v>1000000000</v>
      </c>
      <c r="D161" s="121">
        <f>IF(AND($A161*Costeo!$D$36&lt;=10000,(($A161)*$D$11-$B$4-((ROUND((MAX(0,(0*Costeo!$B$117+0*Costeo!$C$117+$A161*Costeo!$D$117+0*Costeo!$E$117)-100)*Costeo!$B$53+MAX(0,(0*Costeo!$B$118+0*Costeo!$C$118+$A161*Costeo!$D$118+0*Costeo!$E$118)-250)*Costeo!$B$52+(MAX(0,ROUNDUP(((0*Costeo!$B$116+0*Costeo!$C$116)+($A161*Costeo!$D$116+0*Costeo!$E$116)*0.05)*2,0)-8)+(0*Costeo!$B$131+0*Costeo!$C$131+$A161*Costeo!$D$131+0*Costeo!$E$131))*Costeo!$B$54+IF((0*Costeo!$B$36+0*Costeo!$C$36)&lt;=2000,10,IF((0*Costeo!$B$36+0*Costeo!$C$36)&lt;=5000,15,IF((0*Costeo!$B$36+0*Costeo!$C$36)&lt;=10000,60,110)))-10)*Costeo!$B$51,2))+(ROUND((MAX(0,(0*Costeo!$B$130+0*Costeo!$C$130+$A161*Costeo!$D$130+0*Costeo!$E$130)+20*2*2*Costeo!$B$69+30*(1/3600*Costeo!$B$55+5/3600*Costeo!$B$56)-Costeo!$B$58)+IF(AND((0*Costeo!$B$120+0*Costeo!$C$120+$A161*Costeo!$D$120+0*Costeo!$E$120)&lt;=1000000,(0*Costeo!$B$119+0*Costeo!$C$119+$A161*Costeo!$D$119+0*Costeo!$E$119)&lt;=1000),0,IF((0*Costeo!$B$120+0*Costeo!$C$120+$A161*Costeo!$D$120+0*Costeo!$E$120)&lt;=10000000,20,IF((0*Costeo!$B$120+0*Costeo!$C$120+$A161*Costeo!$D$120+0*Costeo!$E$120)&lt;=50000000,100,300)))+MAX(0,ROUNDUP((0*Costeo!$B$36+0*Costeo!$C$36+$A161*Costeo!$D$36+0*Costeo!$E$36)/5000,0)-1)*Costeo!$B$62+IF((0*Costeo!$B$36+0*Costeo!$C$36+$A161*Costeo!$D$36+0*Costeo!$E$36)&gt;5000,32-Costeo!$B$61,0))*Costeo!$B$51,2))))&gt;=0),$A161,1000000000)</f>
        <v>1000000000</v>
      </c>
      <c r="E161" s="121">
        <f>IF(AND($A161*Costeo!$E$36&lt;=10000,(($A161)*$D$12-$B$4-((ROUND((MAX(0,(0*Costeo!$B$117+0*Costeo!$C$117+0*Costeo!$D$117+$A161*Costeo!$E$117)-100)*Costeo!$B$53+MAX(0,(0*Costeo!$B$118+0*Costeo!$C$118+0*Costeo!$D$118+$A161*Costeo!$E$118)-250)*Costeo!$B$52+(MAX(0,ROUNDUP(((0*Costeo!$B$116+0*Costeo!$C$116)+(0*Costeo!$D$116+$A161*Costeo!$E$116)*0.05)*2,0)-8)+(0*Costeo!$B$131+0*Costeo!$C$131+0*Costeo!$D$131+$A161*Costeo!$E$131))*Costeo!$B$54+IF((0*Costeo!$B$36+0*Costeo!$C$36)&lt;=2000,10,IF((0*Costeo!$B$36+0*Costeo!$C$36)&lt;=5000,15,IF((0*Costeo!$B$36+0*Costeo!$C$36)&lt;=10000,60,110)))-10)*Costeo!$B$51,2))+(ROUND((MAX(0,(0*Costeo!$B$130+0*Costeo!$C$130+0*Costeo!$D$130+$A161*Costeo!$E$130)+20*2*2*Costeo!$B$69+30*(1/3600*Costeo!$B$55+5/3600*Costeo!$B$56)-Costeo!$B$58)+IF(AND((0*Costeo!$B$120+0*Costeo!$C$120+0*Costeo!$D$120+$A161*Costeo!$E$120)&lt;=1000000,(0*Costeo!$B$119+0*Costeo!$C$119+0*Costeo!$D$119+$A161*Costeo!$E$119)&lt;=1000),0,IF((0*Costeo!$B$120+0*Costeo!$C$120+0*Costeo!$D$120+$A161*Costeo!$E$120)&lt;=10000000,20,IF((0*Costeo!$B$120+0*Costeo!$C$120+0*Costeo!$D$120+$A161*Costeo!$E$120)&lt;=50000000,100,300)))+MAX(0,ROUNDUP((0*Costeo!$B$36+0*Costeo!$C$36+0*Costeo!$D$36+$A161*Costeo!$E$36)/5000,0)-1)*Costeo!$B$62+IF((0*Costeo!$B$36+0*Costeo!$C$36+0*Costeo!$D$36+$A161*Costeo!$E$36)&gt;5000,32-Costeo!$B$61,0))*Costeo!$B$51,2))))&gt;=0),$A161,1000000000)</f>
        <v>1000000000</v>
      </c>
    </row>
    <row r="162" hidden="1" outlineLevel="1" ht="30" customHeight="1" s="61">
      <c r="A162" s="52" t="n">
        <v>111</v>
      </c>
      <c r="B162" s="121">
        <f>IF(AND($A162*Costeo!$B$36&lt;=10000,(($A162)*$D$9-$B$4-((ROUND((MAX(0,($A162*Costeo!$B$117+0*Costeo!$C$117+0*Costeo!$D$117+0*Costeo!$E$117)-100)*Costeo!$B$53+MAX(0,($A162*Costeo!$B$118+0*Costeo!$C$118+0*Costeo!$D$118+0*Costeo!$E$118)-250)*Costeo!$B$52+(MAX(0,ROUNDUP((($A162*Costeo!$B$116+0*Costeo!$C$116)+(0*Costeo!$D$116+0*Costeo!$E$116)*0.05)*2,0)-8)+($A162*Costeo!$B$131+0*Costeo!$C$131+0*Costeo!$D$131+0*Costeo!$E$131))*Costeo!$B$54+IF(($A162*Costeo!$B$36+0*Costeo!$C$36)&lt;=2000,10,IF(($A162*Costeo!$B$36+0*Costeo!$C$36)&lt;=5000,15,IF(($A162*Costeo!$B$36+0*Costeo!$C$36)&lt;=10000,60,110)))-10)*Costeo!$B$51,2))+(ROUND((MAX(0,($A162*Costeo!$B$130+0*Costeo!$C$130+0*Costeo!$D$130+0*Costeo!$E$130)+20*2*2*Costeo!$B$69+30*(1/3600*Costeo!$B$55+5/3600*Costeo!$B$56)-Costeo!$B$58)+IF(AND(($A162*Costeo!$B$120+0*Costeo!$C$120+0*Costeo!$D$120+0*Costeo!$E$120)&lt;=1000000,($A162*Costeo!$B$119+0*Costeo!$C$119+0*Costeo!$D$119+0*Costeo!$E$119)&lt;=1000),0,IF(($A162*Costeo!$B$120+0*Costeo!$C$120+0*Costeo!$D$120+0*Costeo!$E$120)&lt;=10000000,20,IF(($A162*Costeo!$B$120+0*Costeo!$C$120+0*Costeo!$D$120+0*Costeo!$E$120)&lt;=50000000,100,300)))+MAX(0,ROUNDUP(($A162*Costeo!$B$36+0*Costeo!$C$36+0*Costeo!$D$36+0*Costeo!$E$36)/5000,0)-1)*Costeo!$B$62+IF(($A162*Costeo!$B$36+0*Costeo!$C$36+0*Costeo!$D$36+0*Costeo!$E$36)&gt;5000,32-Costeo!$B$61,0))*Costeo!$B$51,2))))&gt;=0),$A162,1000000000)</f>
        <v>111</v>
      </c>
      <c r="C162" s="121">
        <f>IF(AND($A162*Costeo!$C$36&lt;=10000,(($A162)*$D$10-$B$4-((ROUND((MAX(0,(0*Costeo!$B$117+$A162*Costeo!$C$117+0*Costeo!$D$117+0*Costeo!$E$117)-100)*Costeo!$B$53+MAX(0,(0*Costeo!$B$118+$A162*Costeo!$C$118+0*Costeo!$D$118+0*Costeo!$E$118)-250)*Costeo!$B$52+(MAX(0,ROUNDUP(((0*Costeo!$B$116+$A162*Costeo!$C$116)+(0*Costeo!$D$116+0*Costeo!$E$116)*0.05)*2,0)-8)+(0*Costeo!$B$131+$A162*Costeo!$C$131+0*Costeo!$D$131+0*Costeo!$E$131))*Costeo!$B$54+IF((0*Costeo!$B$36+$A162*Costeo!$C$36)&lt;=2000,10,IF((0*Costeo!$B$36+$A162*Costeo!$C$36)&lt;=5000,15,IF((0*Costeo!$B$36+$A162*Costeo!$C$36)&lt;=10000,60,110)))-10)*Costeo!$B$51,2))+(ROUND((MAX(0,(0*Costeo!$B$130+$A162*Costeo!$C$130+0*Costeo!$D$130+0*Costeo!$E$130)+20*2*2*Costeo!$B$69+30*(1/3600*Costeo!$B$55+5/3600*Costeo!$B$56)-Costeo!$B$58)+IF(AND((0*Costeo!$B$120+$A162*Costeo!$C$120+0*Costeo!$D$120+0*Costeo!$E$120)&lt;=1000000,(0*Costeo!$B$119+$A162*Costeo!$C$119+0*Costeo!$D$119+0*Costeo!$E$119)&lt;=1000),0,IF((0*Costeo!$B$120+$A162*Costeo!$C$120+0*Costeo!$D$120+0*Costeo!$E$120)&lt;=10000000,20,IF((0*Costeo!$B$120+$A162*Costeo!$C$120+0*Costeo!$D$120+0*Costeo!$E$120)&lt;=50000000,100,300)))+MAX(0,ROUNDUP((0*Costeo!$B$36+$A162*Costeo!$C$36+0*Costeo!$D$36+0*Costeo!$E$36)/5000,0)-1)*Costeo!$B$62+IF((0*Costeo!$B$36+$A162*Costeo!$C$36+0*Costeo!$D$36+0*Costeo!$E$36)&gt;5000,32-Costeo!$B$61,0))*Costeo!$B$51,2))))&gt;=0),$A162,1000000000)</f>
        <v>1000000000</v>
      </c>
      <c r="D162" s="121">
        <f>IF(AND($A162*Costeo!$D$36&lt;=10000,(($A162)*$D$11-$B$4-((ROUND((MAX(0,(0*Costeo!$B$117+0*Costeo!$C$117+$A162*Costeo!$D$117+0*Costeo!$E$117)-100)*Costeo!$B$53+MAX(0,(0*Costeo!$B$118+0*Costeo!$C$118+$A162*Costeo!$D$118+0*Costeo!$E$118)-250)*Costeo!$B$52+(MAX(0,ROUNDUP(((0*Costeo!$B$116+0*Costeo!$C$116)+($A162*Costeo!$D$116+0*Costeo!$E$116)*0.05)*2,0)-8)+(0*Costeo!$B$131+0*Costeo!$C$131+$A162*Costeo!$D$131+0*Costeo!$E$131))*Costeo!$B$54+IF((0*Costeo!$B$36+0*Costeo!$C$36)&lt;=2000,10,IF((0*Costeo!$B$36+0*Costeo!$C$36)&lt;=5000,15,IF((0*Costeo!$B$36+0*Costeo!$C$36)&lt;=10000,60,110)))-10)*Costeo!$B$51,2))+(ROUND((MAX(0,(0*Costeo!$B$130+0*Costeo!$C$130+$A162*Costeo!$D$130+0*Costeo!$E$130)+20*2*2*Costeo!$B$69+30*(1/3600*Costeo!$B$55+5/3600*Costeo!$B$56)-Costeo!$B$58)+IF(AND((0*Costeo!$B$120+0*Costeo!$C$120+$A162*Costeo!$D$120+0*Costeo!$E$120)&lt;=1000000,(0*Costeo!$B$119+0*Costeo!$C$119+$A162*Costeo!$D$119+0*Costeo!$E$119)&lt;=1000),0,IF((0*Costeo!$B$120+0*Costeo!$C$120+$A162*Costeo!$D$120+0*Costeo!$E$120)&lt;=10000000,20,IF((0*Costeo!$B$120+0*Costeo!$C$120+$A162*Costeo!$D$120+0*Costeo!$E$120)&lt;=50000000,100,300)))+MAX(0,ROUNDUP((0*Costeo!$B$36+0*Costeo!$C$36+$A162*Costeo!$D$36+0*Costeo!$E$36)/5000,0)-1)*Costeo!$B$62+IF((0*Costeo!$B$36+0*Costeo!$C$36+$A162*Costeo!$D$36+0*Costeo!$E$36)&gt;5000,32-Costeo!$B$61,0))*Costeo!$B$51,2))))&gt;=0),$A162,1000000000)</f>
        <v>1000000000</v>
      </c>
      <c r="E162" s="121">
        <f>IF(AND($A162*Costeo!$E$36&lt;=10000,(($A162)*$D$12-$B$4-((ROUND((MAX(0,(0*Costeo!$B$117+0*Costeo!$C$117+0*Costeo!$D$117+$A162*Costeo!$E$117)-100)*Costeo!$B$53+MAX(0,(0*Costeo!$B$118+0*Costeo!$C$118+0*Costeo!$D$118+$A162*Costeo!$E$118)-250)*Costeo!$B$52+(MAX(0,ROUNDUP(((0*Costeo!$B$116+0*Costeo!$C$116)+(0*Costeo!$D$116+$A162*Costeo!$E$116)*0.05)*2,0)-8)+(0*Costeo!$B$131+0*Costeo!$C$131+0*Costeo!$D$131+$A162*Costeo!$E$131))*Costeo!$B$54+IF((0*Costeo!$B$36+0*Costeo!$C$36)&lt;=2000,10,IF((0*Costeo!$B$36+0*Costeo!$C$36)&lt;=5000,15,IF((0*Costeo!$B$36+0*Costeo!$C$36)&lt;=10000,60,110)))-10)*Costeo!$B$51,2))+(ROUND((MAX(0,(0*Costeo!$B$130+0*Costeo!$C$130+0*Costeo!$D$130+$A162*Costeo!$E$130)+20*2*2*Costeo!$B$69+30*(1/3600*Costeo!$B$55+5/3600*Costeo!$B$56)-Costeo!$B$58)+IF(AND((0*Costeo!$B$120+0*Costeo!$C$120+0*Costeo!$D$120+$A162*Costeo!$E$120)&lt;=1000000,(0*Costeo!$B$119+0*Costeo!$C$119+0*Costeo!$D$119+$A162*Costeo!$E$119)&lt;=1000),0,IF((0*Costeo!$B$120+0*Costeo!$C$120+0*Costeo!$D$120+$A162*Costeo!$E$120)&lt;=10000000,20,IF((0*Costeo!$B$120+0*Costeo!$C$120+0*Costeo!$D$120+$A162*Costeo!$E$120)&lt;=50000000,100,300)))+MAX(0,ROUNDUP((0*Costeo!$B$36+0*Costeo!$C$36+0*Costeo!$D$36+$A162*Costeo!$E$36)/5000,0)-1)*Costeo!$B$62+IF((0*Costeo!$B$36+0*Costeo!$C$36+0*Costeo!$D$36+$A162*Costeo!$E$36)&gt;5000,32-Costeo!$B$61,0))*Costeo!$B$51,2))))&gt;=0),$A162,1000000000)</f>
        <v>1000000000</v>
      </c>
    </row>
    <row r="163" hidden="1" outlineLevel="1" ht="30" customHeight="1" s="61">
      <c r="A163" s="52" t="n">
        <v>112</v>
      </c>
      <c r="B163" s="121">
        <f>IF(AND($A163*Costeo!$B$36&lt;=10000,(($A163)*$D$9-$B$4-((ROUND((MAX(0,($A163*Costeo!$B$117+0*Costeo!$C$117+0*Costeo!$D$117+0*Costeo!$E$117)-100)*Costeo!$B$53+MAX(0,($A163*Costeo!$B$118+0*Costeo!$C$118+0*Costeo!$D$118+0*Costeo!$E$118)-250)*Costeo!$B$52+(MAX(0,ROUNDUP((($A163*Costeo!$B$116+0*Costeo!$C$116)+(0*Costeo!$D$116+0*Costeo!$E$116)*0.05)*2,0)-8)+($A163*Costeo!$B$131+0*Costeo!$C$131+0*Costeo!$D$131+0*Costeo!$E$131))*Costeo!$B$54+IF(($A163*Costeo!$B$36+0*Costeo!$C$36)&lt;=2000,10,IF(($A163*Costeo!$B$36+0*Costeo!$C$36)&lt;=5000,15,IF(($A163*Costeo!$B$36+0*Costeo!$C$36)&lt;=10000,60,110)))-10)*Costeo!$B$51,2))+(ROUND((MAX(0,($A163*Costeo!$B$130+0*Costeo!$C$130+0*Costeo!$D$130+0*Costeo!$E$130)+20*2*2*Costeo!$B$69+30*(1/3600*Costeo!$B$55+5/3600*Costeo!$B$56)-Costeo!$B$58)+IF(AND(($A163*Costeo!$B$120+0*Costeo!$C$120+0*Costeo!$D$120+0*Costeo!$E$120)&lt;=1000000,($A163*Costeo!$B$119+0*Costeo!$C$119+0*Costeo!$D$119+0*Costeo!$E$119)&lt;=1000),0,IF(($A163*Costeo!$B$120+0*Costeo!$C$120+0*Costeo!$D$120+0*Costeo!$E$120)&lt;=10000000,20,IF(($A163*Costeo!$B$120+0*Costeo!$C$120+0*Costeo!$D$120+0*Costeo!$E$120)&lt;=50000000,100,300)))+MAX(0,ROUNDUP(($A163*Costeo!$B$36+0*Costeo!$C$36+0*Costeo!$D$36+0*Costeo!$E$36)/5000,0)-1)*Costeo!$B$62+IF(($A163*Costeo!$B$36+0*Costeo!$C$36+0*Costeo!$D$36+0*Costeo!$E$36)&gt;5000,32-Costeo!$B$61,0))*Costeo!$B$51,2))))&gt;=0),$A163,1000000000)</f>
        <v>112</v>
      </c>
      <c r="C163" s="121">
        <f>IF(AND($A163*Costeo!$C$36&lt;=10000,(($A163)*$D$10-$B$4-((ROUND((MAX(0,(0*Costeo!$B$117+$A163*Costeo!$C$117+0*Costeo!$D$117+0*Costeo!$E$117)-100)*Costeo!$B$53+MAX(0,(0*Costeo!$B$118+$A163*Costeo!$C$118+0*Costeo!$D$118+0*Costeo!$E$118)-250)*Costeo!$B$52+(MAX(0,ROUNDUP(((0*Costeo!$B$116+$A163*Costeo!$C$116)+(0*Costeo!$D$116+0*Costeo!$E$116)*0.05)*2,0)-8)+(0*Costeo!$B$131+$A163*Costeo!$C$131+0*Costeo!$D$131+0*Costeo!$E$131))*Costeo!$B$54+IF((0*Costeo!$B$36+$A163*Costeo!$C$36)&lt;=2000,10,IF((0*Costeo!$B$36+$A163*Costeo!$C$36)&lt;=5000,15,IF((0*Costeo!$B$36+$A163*Costeo!$C$36)&lt;=10000,60,110)))-10)*Costeo!$B$51,2))+(ROUND((MAX(0,(0*Costeo!$B$130+$A163*Costeo!$C$130+0*Costeo!$D$130+0*Costeo!$E$130)+20*2*2*Costeo!$B$69+30*(1/3600*Costeo!$B$55+5/3600*Costeo!$B$56)-Costeo!$B$58)+IF(AND((0*Costeo!$B$120+$A163*Costeo!$C$120+0*Costeo!$D$120+0*Costeo!$E$120)&lt;=1000000,(0*Costeo!$B$119+$A163*Costeo!$C$119+0*Costeo!$D$119+0*Costeo!$E$119)&lt;=1000),0,IF((0*Costeo!$B$120+$A163*Costeo!$C$120+0*Costeo!$D$120+0*Costeo!$E$120)&lt;=10000000,20,IF((0*Costeo!$B$120+$A163*Costeo!$C$120+0*Costeo!$D$120+0*Costeo!$E$120)&lt;=50000000,100,300)))+MAX(0,ROUNDUP((0*Costeo!$B$36+$A163*Costeo!$C$36+0*Costeo!$D$36+0*Costeo!$E$36)/5000,0)-1)*Costeo!$B$62+IF((0*Costeo!$B$36+$A163*Costeo!$C$36+0*Costeo!$D$36+0*Costeo!$E$36)&gt;5000,32-Costeo!$B$61,0))*Costeo!$B$51,2))))&gt;=0),$A163,1000000000)</f>
        <v>1000000000</v>
      </c>
      <c r="D163" s="121">
        <f>IF(AND($A163*Costeo!$D$36&lt;=10000,(($A163)*$D$11-$B$4-((ROUND((MAX(0,(0*Costeo!$B$117+0*Costeo!$C$117+$A163*Costeo!$D$117+0*Costeo!$E$117)-100)*Costeo!$B$53+MAX(0,(0*Costeo!$B$118+0*Costeo!$C$118+$A163*Costeo!$D$118+0*Costeo!$E$118)-250)*Costeo!$B$52+(MAX(0,ROUNDUP(((0*Costeo!$B$116+0*Costeo!$C$116)+($A163*Costeo!$D$116+0*Costeo!$E$116)*0.05)*2,0)-8)+(0*Costeo!$B$131+0*Costeo!$C$131+$A163*Costeo!$D$131+0*Costeo!$E$131))*Costeo!$B$54+IF((0*Costeo!$B$36+0*Costeo!$C$36)&lt;=2000,10,IF((0*Costeo!$B$36+0*Costeo!$C$36)&lt;=5000,15,IF((0*Costeo!$B$36+0*Costeo!$C$36)&lt;=10000,60,110)))-10)*Costeo!$B$51,2))+(ROUND((MAX(0,(0*Costeo!$B$130+0*Costeo!$C$130+$A163*Costeo!$D$130+0*Costeo!$E$130)+20*2*2*Costeo!$B$69+30*(1/3600*Costeo!$B$55+5/3600*Costeo!$B$56)-Costeo!$B$58)+IF(AND((0*Costeo!$B$120+0*Costeo!$C$120+$A163*Costeo!$D$120+0*Costeo!$E$120)&lt;=1000000,(0*Costeo!$B$119+0*Costeo!$C$119+$A163*Costeo!$D$119+0*Costeo!$E$119)&lt;=1000),0,IF((0*Costeo!$B$120+0*Costeo!$C$120+$A163*Costeo!$D$120+0*Costeo!$E$120)&lt;=10000000,20,IF((0*Costeo!$B$120+0*Costeo!$C$120+$A163*Costeo!$D$120+0*Costeo!$E$120)&lt;=50000000,100,300)))+MAX(0,ROUNDUP((0*Costeo!$B$36+0*Costeo!$C$36+$A163*Costeo!$D$36+0*Costeo!$E$36)/5000,0)-1)*Costeo!$B$62+IF((0*Costeo!$B$36+0*Costeo!$C$36+$A163*Costeo!$D$36+0*Costeo!$E$36)&gt;5000,32-Costeo!$B$61,0))*Costeo!$B$51,2))))&gt;=0),$A163,1000000000)</f>
        <v>1000000000</v>
      </c>
      <c r="E163" s="121">
        <f>IF(AND($A163*Costeo!$E$36&lt;=10000,(($A163)*$D$12-$B$4-((ROUND((MAX(0,(0*Costeo!$B$117+0*Costeo!$C$117+0*Costeo!$D$117+$A163*Costeo!$E$117)-100)*Costeo!$B$53+MAX(0,(0*Costeo!$B$118+0*Costeo!$C$118+0*Costeo!$D$118+$A163*Costeo!$E$118)-250)*Costeo!$B$52+(MAX(0,ROUNDUP(((0*Costeo!$B$116+0*Costeo!$C$116)+(0*Costeo!$D$116+$A163*Costeo!$E$116)*0.05)*2,0)-8)+(0*Costeo!$B$131+0*Costeo!$C$131+0*Costeo!$D$131+$A163*Costeo!$E$131))*Costeo!$B$54+IF((0*Costeo!$B$36+0*Costeo!$C$36)&lt;=2000,10,IF((0*Costeo!$B$36+0*Costeo!$C$36)&lt;=5000,15,IF((0*Costeo!$B$36+0*Costeo!$C$36)&lt;=10000,60,110)))-10)*Costeo!$B$51,2))+(ROUND((MAX(0,(0*Costeo!$B$130+0*Costeo!$C$130+0*Costeo!$D$130+$A163*Costeo!$E$130)+20*2*2*Costeo!$B$69+30*(1/3600*Costeo!$B$55+5/3600*Costeo!$B$56)-Costeo!$B$58)+IF(AND((0*Costeo!$B$120+0*Costeo!$C$120+0*Costeo!$D$120+$A163*Costeo!$E$120)&lt;=1000000,(0*Costeo!$B$119+0*Costeo!$C$119+0*Costeo!$D$119+$A163*Costeo!$E$119)&lt;=1000),0,IF((0*Costeo!$B$120+0*Costeo!$C$120+0*Costeo!$D$120+$A163*Costeo!$E$120)&lt;=10000000,20,IF((0*Costeo!$B$120+0*Costeo!$C$120+0*Costeo!$D$120+$A163*Costeo!$E$120)&lt;=50000000,100,300)))+MAX(0,ROUNDUP((0*Costeo!$B$36+0*Costeo!$C$36+0*Costeo!$D$36+$A163*Costeo!$E$36)/5000,0)-1)*Costeo!$B$62+IF((0*Costeo!$B$36+0*Costeo!$C$36+0*Costeo!$D$36+$A163*Costeo!$E$36)&gt;5000,32-Costeo!$B$61,0))*Costeo!$B$51,2))))&gt;=0),$A163,1000000000)</f>
        <v>1000000000</v>
      </c>
    </row>
    <row r="164" hidden="1" outlineLevel="1" ht="30" customHeight="1" s="61">
      <c r="A164" s="52" t="n">
        <v>113</v>
      </c>
      <c r="B164" s="121">
        <f>IF(AND($A164*Costeo!$B$36&lt;=10000,(($A164)*$D$9-$B$4-((ROUND((MAX(0,($A164*Costeo!$B$117+0*Costeo!$C$117+0*Costeo!$D$117+0*Costeo!$E$117)-100)*Costeo!$B$53+MAX(0,($A164*Costeo!$B$118+0*Costeo!$C$118+0*Costeo!$D$118+0*Costeo!$E$118)-250)*Costeo!$B$52+(MAX(0,ROUNDUP((($A164*Costeo!$B$116+0*Costeo!$C$116)+(0*Costeo!$D$116+0*Costeo!$E$116)*0.05)*2,0)-8)+($A164*Costeo!$B$131+0*Costeo!$C$131+0*Costeo!$D$131+0*Costeo!$E$131))*Costeo!$B$54+IF(($A164*Costeo!$B$36+0*Costeo!$C$36)&lt;=2000,10,IF(($A164*Costeo!$B$36+0*Costeo!$C$36)&lt;=5000,15,IF(($A164*Costeo!$B$36+0*Costeo!$C$36)&lt;=10000,60,110)))-10)*Costeo!$B$51,2))+(ROUND((MAX(0,($A164*Costeo!$B$130+0*Costeo!$C$130+0*Costeo!$D$130+0*Costeo!$E$130)+20*2*2*Costeo!$B$69+30*(1/3600*Costeo!$B$55+5/3600*Costeo!$B$56)-Costeo!$B$58)+IF(AND(($A164*Costeo!$B$120+0*Costeo!$C$120+0*Costeo!$D$120+0*Costeo!$E$120)&lt;=1000000,($A164*Costeo!$B$119+0*Costeo!$C$119+0*Costeo!$D$119+0*Costeo!$E$119)&lt;=1000),0,IF(($A164*Costeo!$B$120+0*Costeo!$C$120+0*Costeo!$D$120+0*Costeo!$E$120)&lt;=10000000,20,IF(($A164*Costeo!$B$120+0*Costeo!$C$120+0*Costeo!$D$120+0*Costeo!$E$120)&lt;=50000000,100,300)))+MAX(0,ROUNDUP(($A164*Costeo!$B$36+0*Costeo!$C$36+0*Costeo!$D$36+0*Costeo!$E$36)/5000,0)-1)*Costeo!$B$62+IF(($A164*Costeo!$B$36+0*Costeo!$C$36+0*Costeo!$D$36+0*Costeo!$E$36)&gt;5000,32-Costeo!$B$61,0))*Costeo!$B$51,2))))&gt;=0),$A164,1000000000)</f>
        <v>113</v>
      </c>
      <c r="C164" s="121">
        <f>IF(AND($A164*Costeo!$C$36&lt;=10000,(($A164)*$D$10-$B$4-((ROUND((MAX(0,(0*Costeo!$B$117+$A164*Costeo!$C$117+0*Costeo!$D$117+0*Costeo!$E$117)-100)*Costeo!$B$53+MAX(0,(0*Costeo!$B$118+$A164*Costeo!$C$118+0*Costeo!$D$118+0*Costeo!$E$118)-250)*Costeo!$B$52+(MAX(0,ROUNDUP(((0*Costeo!$B$116+$A164*Costeo!$C$116)+(0*Costeo!$D$116+0*Costeo!$E$116)*0.05)*2,0)-8)+(0*Costeo!$B$131+$A164*Costeo!$C$131+0*Costeo!$D$131+0*Costeo!$E$131))*Costeo!$B$54+IF((0*Costeo!$B$36+$A164*Costeo!$C$36)&lt;=2000,10,IF((0*Costeo!$B$36+$A164*Costeo!$C$36)&lt;=5000,15,IF((0*Costeo!$B$36+$A164*Costeo!$C$36)&lt;=10000,60,110)))-10)*Costeo!$B$51,2))+(ROUND((MAX(0,(0*Costeo!$B$130+$A164*Costeo!$C$130+0*Costeo!$D$130+0*Costeo!$E$130)+20*2*2*Costeo!$B$69+30*(1/3600*Costeo!$B$55+5/3600*Costeo!$B$56)-Costeo!$B$58)+IF(AND((0*Costeo!$B$120+$A164*Costeo!$C$120+0*Costeo!$D$120+0*Costeo!$E$120)&lt;=1000000,(0*Costeo!$B$119+$A164*Costeo!$C$119+0*Costeo!$D$119+0*Costeo!$E$119)&lt;=1000),0,IF((0*Costeo!$B$120+$A164*Costeo!$C$120+0*Costeo!$D$120+0*Costeo!$E$120)&lt;=10000000,20,IF((0*Costeo!$B$120+$A164*Costeo!$C$120+0*Costeo!$D$120+0*Costeo!$E$120)&lt;=50000000,100,300)))+MAX(0,ROUNDUP((0*Costeo!$B$36+$A164*Costeo!$C$36+0*Costeo!$D$36+0*Costeo!$E$36)/5000,0)-1)*Costeo!$B$62+IF((0*Costeo!$B$36+$A164*Costeo!$C$36+0*Costeo!$D$36+0*Costeo!$E$36)&gt;5000,32-Costeo!$B$61,0))*Costeo!$B$51,2))))&gt;=0),$A164,1000000000)</f>
        <v>1000000000</v>
      </c>
      <c r="D164" s="121">
        <f>IF(AND($A164*Costeo!$D$36&lt;=10000,(($A164)*$D$11-$B$4-((ROUND((MAX(0,(0*Costeo!$B$117+0*Costeo!$C$117+$A164*Costeo!$D$117+0*Costeo!$E$117)-100)*Costeo!$B$53+MAX(0,(0*Costeo!$B$118+0*Costeo!$C$118+$A164*Costeo!$D$118+0*Costeo!$E$118)-250)*Costeo!$B$52+(MAX(0,ROUNDUP(((0*Costeo!$B$116+0*Costeo!$C$116)+($A164*Costeo!$D$116+0*Costeo!$E$116)*0.05)*2,0)-8)+(0*Costeo!$B$131+0*Costeo!$C$131+$A164*Costeo!$D$131+0*Costeo!$E$131))*Costeo!$B$54+IF((0*Costeo!$B$36+0*Costeo!$C$36)&lt;=2000,10,IF((0*Costeo!$B$36+0*Costeo!$C$36)&lt;=5000,15,IF((0*Costeo!$B$36+0*Costeo!$C$36)&lt;=10000,60,110)))-10)*Costeo!$B$51,2))+(ROUND((MAX(0,(0*Costeo!$B$130+0*Costeo!$C$130+$A164*Costeo!$D$130+0*Costeo!$E$130)+20*2*2*Costeo!$B$69+30*(1/3600*Costeo!$B$55+5/3600*Costeo!$B$56)-Costeo!$B$58)+IF(AND((0*Costeo!$B$120+0*Costeo!$C$120+$A164*Costeo!$D$120+0*Costeo!$E$120)&lt;=1000000,(0*Costeo!$B$119+0*Costeo!$C$119+$A164*Costeo!$D$119+0*Costeo!$E$119)&lt;=1000),0,IF((0*Costeo!$B$120+0*Costeo!$C$120+$A164*Costeo!$D$120+0*Costeo!$E$120)&lt;=10000000,20,IF((0*Costeo!$B$120+0*Costeo!$C$120+$A164*Costeo!$D$120+0*Costeo!$E$120)&lt;=50000000,100,300)))+MAX(0,ROUNDUP((0*Costeo!$B$36+0*Costeo!$C$36+$A164*Costeo!$D$36+0*Costeo!$E$36)/5000,0)-1)*Costeo!$B$62+IF((0*Costeo!$B$36+0*Costeo!$C$36+$A164*Costeo!$D$36+0*Costeo!$E$36)&gt;5000,32-Costeo!$B$61,0))*Costeo!$B$51,2))))&gt;=0),$A164,1000000000)</f>
        <v>1000000000</v>
      </c>
      <c r="E164" s="121">
        <f>IF(AND($A164*Costeo!$E$36&lt;=10000,(($A164)*$D$12-$B$4-((ROUND((MAX(0,(0*Costeo!$B$117+0*Costeo!$C$117+0*Costeo!$D$117+$A164*Costeo!$E$117)-100)*Costeo!$B$53+MAX(0,(0*Costeo!$B$118+0*Costeo!$C$118+0*Costeo!$D$118+$A164*Costeo!$E$118)-250)*Costeo!$B$52+(MAX(0,ROUNDUP(((0*Costeo!$B$116+0*Costeo!$C$116)+(0*Costeo!$D$116+$A164*Costeo!$E$116)*0.05)*2,0)-8)+(0*Costeo!$B$131+0*Costeo!$C$131+0*Costeo!$D$131+$A164*Costeo!$E$131))*Costeo!$B$54+IF((0*Costeo!$B$36+0*Costeo!$C$36)&lt;=2000,10,IF((0*Costeo!$B$36+0*Costeo!$C$36)&lt;=5000,15,IF((0*Costeo!$B$36+0*Costeo!$C$36)&lt;=10000,60,110)))-10)*Costeo!$B$51,2))+(ROUND((MAX(0,(0*Costeo!$B$130+0*Costeo!$C$130+0*Costeo!$D$130+$A164*Costeo!$E$130)+20*2*2*Costeo!$B$69+30*(1/3600*Costeo!$B$55+5/3600*Costeo!$B$56)-Costeo!$B$58)+IF(AND((0*Costeo!$B$120+0*Costeo!$C$120+0*Costeo!$D$120+$A164*Costeo!$E$120)&lt;=1000000,(0*Costeo!$B$119+0*Costeo!$C$119+0*Costeo!$D$119+$A164*Costeo!$E$119)&lt;=1000),0,IF((0*Costeo!$B$120+0*Costeo!$C$120+0*Costeo!$D$120+$A164*Costeo!$E$120)&lt;=10000000,20,IF((0*Costeo!$B$120+0*Costeo!$C$120+0*Costeo!$D$120+$A164*Costeo!$E$120)&lt;=50000000,100,300)))+MAX(0,ROUNDUP((0*Costeo!$B$36+0*Costeo!$C$36+0*Costeo!$D$36+$A164*Costeo!$E$36)/5000,0)-1)*Costeo!$B$62+IF((0*Costeo!$B$36+0*Costeo!$C$36+0*Costeo!$D$36+$A164*Costeo!$E$36)&gt;5000,32-Costeo!$B$61,0))*Costeo!$B$51,2))))&gt;=0),$A164,1000000000)</f>
        <v>1000000000</v>
      </c>
    </row>
    <row r="165" hidden="1" outlineLevel="1" ht="30" customHeight="1" s="61">
      <c r="A165" s="52" t="n">
        <v>114</v>
      </c>
      <c r="B165" s="121">
        <f>IF(AND($A165*Costeo!$B$36&lt;=10000,(($A165)*$D$9-$B$4-((ROUND((MAX(0,($A165*Costeo!$B$117+0*Costeo!$C$117+0*Costeo!$D$117+0*Costeo!$E$117)-100)*Costeo!$B$53+MAX(0,($A165*Costeo!$B$118+0*Costeo!$C$118+0*Costeo!$D$118+0*Costeo!$E$118)-250)*Costeo!$B$52+(MAX(0,ROUNDUP((($A165*Costeo!$B$116+0*Costeo!$C$116)+(0*Costeo!$D$116+0*Costeo!$E$116)*0.05)*2,0)-8)+($A165*Costeo!$B$131+0*Costeo!$C$131+0*Costeo!$D$131+0*Costeo!$E$131))*Costeo!$B$54+IF(($A165*Costeo!$B$36+0*Costeo!$C$36)&lt;=2000,10,IF(($A165*Costeo!$B$36+0*Costeo!$C$36)&lt;=5000,15,IF(($A165*Costeo!$B$36+0*Costeo!$C$36)&lt;=10000,60,110)))-10)*Costeo!$B$51,2))+(ROUND((MAX(0,($A165*Costeo!$B$130+0*Costeo!$C$130+0*Costeo!$D$130+0*Costeo!$E$130)+20*2*2*Costeo!$B$69+30*(1/3600*Costeo!$B$55+5/3600*Costeo!$B$56)-Costeo!$B$58)+IF(AND(($A165*Costeo!$B$120+0*Costeo!$C$120+0*Costeo!$D$120+0*Costeo!$E$120)&lt;=1000000,($A165*Costeo!$B$119+0*Costeo!$C$119+0*Costeo!$D$119+0*Costeo!$E$119)&lt;=1000),0,IF(($A165*Costeo!$B$120+0*Costeo!$C$120+0*Costeo!$D$120+0*Costeo!$E$120)&lt;=10000000,20,IF(($A165*Costeo!$B$120+0*Costeo!$C$120+0*Costeo!$D$120+0*Costeo!$E$120)&lt;=50000000,100,300)))+MAX(0,ROUNDUP(($A165*Costeo!$B$36+0*Costeo!$C$36+0*Costeo!$D$36+0*Costeo!$E$36)/5000,0)-1)*Costeo!$B$62+IF(($A165*Costeo!$B$36+0*Costeo!$C$36+0*Costeo!$D$36+0*Costeo!$E$36)&gt;5000,32-Costeo!$B$61,0))*Costeo!$B$51,2))))&gt;=0),$A165,1000000000)</f>
        <v>114</v>
      </c>
      <c r="C165" s="121">
        <f>IF(AND($A165*Costeo!$C$36&lt;=10000,(($A165)*$D$10-$B$4-((ROUND((MAX(0,(0*Costeo!$B$117+$A165*Costeo!$C$117+0*Costeo!$D$117+0*Costeo!$E$117)-100)*Costeo!$B$53+MAX(0,(0*Costeo!$B$118+$A165*Costeo!$C$118+0*Costeo!$D$118+0*Costeo!$E$118)-250)*Costeo!$B$52+(MAX(0,ROUNDUP(((0*Costeo!$B$116+$A165*Costeo!$C$116)+(0*Costeo!$D$116+0*Costeo!$E$116)*0.05)*2,0)-8)+(0*Costeo!$B$131+$A165*Costeo!$C$131+0*Costeo!$D$131+0*Costeo!$E$131))*Costeo!$B$54+IF((0*Costeo!$B$36+$A165*Costeo!$C$36)&lt;=2000,10,IF((0*Costeo!$B$36+$A165*Costeo!$C$36)&lt;=5000,15,IF((0*Costeo!$B$36+$A165*Costeo!$C$36)&lt;=10000,60,110)))-10)*Costeo!$B$51,2))+(ROUND((MAX(0,(0*Costeo!$B$130+$A165*Costeo!$C$130+0*Costeo!$D$130+0*Costeo!$E$130)+20*2*2*Costeo!$B$69+30*(1/3600*Costeo!$B$55+5/3600*Costeo!$B$56)-Costeo!$B$58)+IF(AND((0*Costeo!$B$120+$A165*Costeo!$C$120+0*Costeo!$D$120+0*Costeo!$E$120)&lt;=1000000,(0*Costeo!$B$119+$A165*Costeo!$C$119+0*Costeo!$D$119+0*Costeo!$E$119)&lt;=1000),0,IF((0*Costeo!$B$120+$A165*Costeo!$C$120+0*Costeo!$D$120+0*Costeo!$E$120)&lt;=10000000,20,IF((0*Costeo!$B$120+$A165*Costeo!$C$120+0*Costeo!$D$120+0*Costeo!$E$120)&lt;=50000000,100,300)))+MAX(0,ROUNDUP((0*Costeo!$B$36+$A165*Costeo!$C$36+0*Costeo!$D$36+0*Costeo!$E$36)/5000,0)-1)*Costeo!$B$62+IF((0*Costeo!$B$36+$A165*Costeo!$C$36+0*Costeo!$D$36+0*Costeo!$E$36)&gt;5000,32-Costeo!$B$61,0))*Costeo!$B$51,2))))&gt;=0),$A165,1000000000)</f>
        <v>1000000000</v>
      </c>
      <c r="D165" s="121">
        <f>IF(AND($A165*Costeo!$D$36&lt;=10000,(($A165)*$D$11-$B$4-((ROUND((MAX(0,(0*Costeo!$B$117+0*Costeo!$C$117+$A165*Costeo!$D$117+0*Costeo!$E$117)-100)*Costeo!$B$53+MAX(0,(0*Costeo!$B$118+0*Costeo!$C$118+$A165*Costeo!$D$118+0*Costeo!$E$118)-250)*Costeo!$B$52+(MAX(0,ROUNDUP(((0*Costeo!$B$116+0*Costeo!$C$116)+($A165*Costeo!$D$116+0*Costeo!$E$116)*0.05)*2,0)-8)+(0*Costeo!$B$131+0*Costeo!$C$131+$A165*Costeo!$D$131+0*Costeo!$E$131))*Costeo!$B$54+IF((0*Costeo!$B$36+0*Costeo!$C$36)&lt;=2000,10,IF((0*Costeo!$B$36+0*Costeo!$C$36)&lt;=5000,15,IF((0*Costeo!$B$36+0*Costeo!$C$36)&lt;=10000,60,110)))-10)*Costeo!$B$51,2))+(ROUND((MAX(0,(0*Costeo!$B$130+0*Costeo!$C$130+$A165*Costeo!$D$130+0*Costeo!$E$130)+20*2*2*Costeo!$B$69+30*(1/3600*Costeo!$B$55+5/3600*Costeo!$B$56)-Costeo!$B$58)+IF(AND((0*Costeo!$B$120+0*Costeo!$C$120+$A165*Costeo!$D$120+0*Costeo!$E$120)&lt;=1000000,(0*Costeo!$B$119+0*Costeo!$C$119+$A165*Costeo!$D$119+0*Costeo!$E$119)&lt;=1000),0,IF((0*Costeo!$B$120+0*Costeo!$C$120+$A165*Costeo!$D$120+0*Costeo!$E$120)&lt;=10000000,20,IF((0*Costeo!$B$120+0*Costeo!$C$120+$A165*Costeo!$D$120+0*Costeo!$E$120)&lt;=50000000,100,300)))+MAX(0,ROUNDUP((0*Costeo!$B$36+0*Costeo!$C$36+$A165*Costeo!$D$36+0*Costeo!$E$36)/5000,0)-1)*Costeo!$B$62+IF((0*Costeo!$B$36+0*Costeo!$C$36+$A165*Costeo!$D$36+0*Costeo!$E$36)&gt;5000,32-Costeo!$B$61,0))*Costeo!$B$51,2))))&gt;=0),$A165,1000000000)</f>
        <v>1000000000</v>
      </c>
      <c r="E165" s="121">
        <f>IF(AND($A165*Costeo!$E$36&lt;=10000,(($A165)*$D$12-$B$4-((ROUND((MAX(0,(0*Costeo!$B$117+0*Costeo!$C$117+0*Costeo!$D$117+$A165*Costeo!$E$117)-100)*Costeo!$B$53+MAX(0,(0*Costeo!$B$118+0*Costeo!$C$118+0*Costeo!$D$118+$A165*Costeo!$E$118)-250)*Costeo!$B$52+(MAX(0,ROUNDUP(((0*Costeo!$B$116+0*Costeo!$C$116)+(0*Costeo!$D$116+$A165*Costeo!$E$116)*0.05)*2,0)-8)+(0*Costeo!$B$131+0*Costeo!$C$131+0*Costeo!$D$131+$A165*Costeo!$E$131))*Costeo!$B$54+IF((0*Costeo!$B$36+0*Costeo!$C$36)&lt;=2000,10,IF((0*Costeo!$B$36+0*Costeo!$C$36)&lt;=5000,15,IF((0*Costeo!$B$36+0*Costeo!$C$36)&lt;=10000,60,110)))-10)*Costeo!$B$51,2))+(ROUND((MAX(0,(0*Costeo!$B$130+0*Costeo!$C$130+0*Costeo!$D$130+$A165*Costeo!$E$130)+20*2*2*Costeo!$B$69+30*(1/3600*Costeo!$B$55+5/3600*Costeo!$B$56)-Costeo!$B$58)+IF(AND((0*Costeo!$B$120+0*Costeo!$C$120+0*Costeo!$D$120+$A165*Costeo!$E$120)&lt;=1000000,(0*Costeo!$B$119+0*Costeo!$C$119+0*Costeo!$D$119+$A165*Costeo!$E$119)&lt;=1000),0,IF((0*Costeo!$B$120+0*Costeo!$C$120+0*Costeo!$D$120+$A165*Costeo!$E$120)&lt;=10000000,20,IF((0*Costeo!$B$120+0*Costeo!$C$120+0*Costeo!$D$120+$A165*Costeo!$E$120)&lt;=50000000,100,300)))+MAX(0,ROUNDUP((0*Costeo!$B$36+0*Costeo!$C$36+0*Costeo!$D$36+$A165*Costeo!$E$36)/5000,0)-1)*Costeo!$B$62+IF((0*Costeo!$B$36+0*Costeo!$C$36+0*Costeo!$D$36+$A165*Costeo!$E$36)&gt;5000,32-Costeo!$B$61,0))*Costeo!$B$51,2))))&gt;=0),$A165,1000000000)</f>
        <v>1000000000</v>
      </c>
    </row>
    <row r="166" hidden="1" outlineLevel="1" ht="30" customHeight="1" s="61">
      <c r="A166" s="52" t="n">
        <v>115</v>
      </c>
      <c r="B166" s="121">
        <f>IF(AND($A166*Costeo!$B$36&lt;=10000,(($A166)*$D$9-$B$4-((ROUND((MAX(0,($A166*Costeo!$B$117+0*Costeo!$C$117+0*Costeo!$D$117+0*Costeo!$E$117)-100)*Costeo!$B$53+MAX(0,($A166*Costeo!$B$118+0*Costeo!$C$118+0*Costeo!$D$118+0*Costeo!$E$118)-250)*Costeo!$B$52+(MAX(0,ROUNDUP((($A166*Costeo!$B$116+0*Costeo!$C$116)+(0*Costeo!$D$116+0*Costeo!$E$116)*0.05)*2,0)-8)+($A166*Costeo!$B$131+0*Costeo!$C$131+0*Costeo!$D$131+0*Costeo!$E$131))*Costeo!$B$54+IF(($A166*Costeo!$B$36+0*Costeo!$C$36)&lt;=2000,10,IF(($A166*Costeo!$B$36+0*Costeo!$C$36)&lt;=5000,15,IF(($A166*Costeo!$B$36+0*Costeo!$C$36)&lt;=10000,60,110)))-10)*Costeo!$B$51,2))+(ROUND((MAX(0,($A166*Costeo!$B$130+0*Costeo!$C$130+0*Costeo!$D$130+0*Costeo!$E$130)+20*2*2*Costeo!$B$69+30*(1/3600*Costeo!$B$55+5/3600*Costeo!$B$56)-Costeo!$B$58)+IF(AND(($A166*Costeo!$B$120+0*Costeo!$C$120+0*Costeo!$D$120+0*Costeo!$E$120)&lt;=1000000,($A166*Costeo!$B$119+0*Costeo!$C$119+0*Costeo!$D$119+0*Costeo!$E$119)&lt;=1000),0,IF(($A166*Costeo!$B$120+0*Costeo!$C$120+0*Costeo!$D$120+0*Costeo!$E$120)&lt;=10000000,20,IF(($A166*Costeo!$B$120+0*Costeo!$C$120+0*Costeo!$D$120+0*Costeo!$E$120)&lt;=50000000,100,300)))+MAX(0,ROUNDUP(($A166*Costeo!$B$36+0*Costeo!$C$36+0*Costeo!$D$36+0*Costeo!$E$36)/5000,0)-1)*Costeo!$B$62+IF(($A166*Costeo!$B$36+0*Costeo!$C$36+0*Costeo!$D$36+0*Costeo!$E$36)&gt;5000,32-Costeo!$B$61,0))*Costeo!$B$51,2))))&gt;=0),$A166,1000000000)</f>
        <v>115</v>
      </c>
      <c r="C166" s="121">
        <f>IF(AND($A166*Costeo!$C$36&lt;=10000,(($A166)*$D$10-$B$4-((ROUND((MAX(0,(0*Costeo!$B$117+$A166*Costeo!$C$117+0*Costeo!$D$117+0*Costeo!$E$117)-100)*Costeo!$B$53+MAX(0,(0*Costeo!$B$118+$A166*Costeo!$C$118+0*Costeo!$D$118+0*Costeo!$E$118)-250)*Costeo!$B$52+(MAX(0,ROUNDUP(((0*Costeo!$B$116+$A166*Costeo!$C$116)+(0*Costeo!$D$116+0*Costeo!$E$116)*0.05)*2,0)-8)+(0*Costeo!$B$131+$A166*Costeo!$C$131+0*Costeo!$D$131+0*Costeo!$E$131))*Costeo!$B$54+IF((0*Costeo!$B$36+$A166*Costeo!$C$36)&lt;=2000,10,IF((0*Costeo!$B$36+$A166*Costeo!$C$36)&lt;=5000,15,IF((0*Costeo!$B$36+$A166*Costeo!$C$36)&lt;=10000,60,110)))-10)*Costeo!$B$51,2))+(ROUND((MAX(0,(0*Costeo!$B$130+$A166*Costeo!$C$130+0*Costeo!$D$130+0*Costeo!$E$130)+20*2*2*Costeo!$B$69+30*(1/3600*Costeo!$B$55+5/3600*Costeo!$B$56)-Costeo!$B$58)+IF(AND((0*Costeo!$B$120+$A166*Costeo!$C$120+0*Costeo!$D$120+0*Costeo!$E$120)&lt;=1000000,(0*Costeo!$B$119+$A166*Costeo!$C$119+0*Costeo!$D$119+0*Costeo!$E$119)&lt;=1000),0,IF((0*Costeo!$B$120+$A166*Costeo!$C$120+0*Costeo!$D$120+0*Costeo!$E$120)&lt;=10000000,20,IF((0*Costeo!$B$120+$A166*Costeo!$C$120+0*Costeo!$D$120+0*Costeo!$E$120)&lt;=50000000,100,300)))+MAX(0,ROUNDUP((0*Costeo!$B$36+$A166*Costeo!$C$36+0*Costeo!$D$36+0*Costeo!$E$36)/5000,0)-1)*Costeo!$B$62+IF((0*Costeo!$B$36+$A166*Costeo!$C$36+0*Costeo!$D$36+0*Costeo!$E$36)&gt;5000,32-Costeo!$B$61,0))*Costeo!$B$51,2))))&gt;=0),$A166,1000000000)</f>
        <v>1000000000</v>
      </c>
      <c r="D166" s="121">
        <f>IF(AND($A166*Costeo!$D$36&lt;=10000,(($A166)*$D$11-$B$4-((ROUND((MAX(0,(0*Costeo!$B$117+0*Costeo!$C$117+$A166*Costeo!$D$117+0*Costeo!$E$117)-100)*Costeo!$B$53+MAX(0,(0*Costeo!$B$118+0*Costeo!$C$118+$A166*Costeo!$D$118+0*Costeo!$E$118)-250)*Costeo!$B$52+(MAX(0,ROUNDUP(((0*Costeo!$B$116+0*Costeo!$C$116)+($A166*Costeo!$D$116+0*Costeo!$E$116)*0.05)*2,0)-8)+(0*Costeo!$B$131+0*Costeo!$C$131+$A166*Costeo!$D$131+0*Costeo!$E$131))*Costeo!$B$54+IF((0*Costeo!$B$36+0*Costeo!$C$36)&lt;=2000,10,IF((0*Costeo!$B$36+0*Costeo!$C$36)&lt;=5000,15,IF((0*Costeo!$B$36+0*Costeo!$C$36)&lt;=10000,60,110)))-10)*Costeo!$B$51,2))+(ROUND((MAX(0,(0*Costeo!$B$130+0*Costeo!$C$130+$A166*Costeo!$D$130+0*Costeo!$E$130)+20*2*2*Costeo!$B$69+30*(1/3600*Costeo!$B$55+5/3600*Costeo!$B$56)-Costeo!$B$58)+IF(AND((0*Costeo!$B$120+0*Costeo!$C$120+$A166*Costeo!$D$120+0*Costeo!$E$120)&lt;=1000000,(0*Costeo!$B$119+0*Costeo!$C$119+$A166*Costeo!$D$119+0*Costeo!$E$119)&lt;=1000),0,IF((0*Costeo!$B$120+0*Costeo!$C$120+$A166*Costeo!$D$120+0*Costeo!$E$120)&lt;=10000000,20,IF((0*Costeo!$B$120+0*Costeo!$C$120+$A166*Costeo!$D$120+0*Costeo!$E$120)&lt;=50000000,100,300)))+MAX(0,ROUNDUP((0*Costeo!$B$36+0*Costeo!$C$36+$A166*Costeo!$D$36+0*Costeo!$E$36)/5000,0)-1)*Costeo!$B$62+IF((0*Costeo!$B$36+0*Costeo!$C$36+$A166*Costeo!$D$36+0*Costeo!$E$36)&gt;5000,32-Costeo!$B$61,0))*Costeo!$B$51,2))))&gt;=0),$A166,1000000000)</f>
        <v>1000000000</v>
      </c>
      <c r="E166" s="121">
        <f>IF(AND($A166*Costeo!$E$36&lt;=10000,(($A166)*$D$12-$B$4-((ROUND((MAX(0,(0*Costeo!$B$117+0*Costeo!$C$117+0*Costeo!$D$117+$A166*Costeo!$E$117)-100)*Costeo!$B$53+MAX(0,(0*Costeo!$B$118+0*Costeo!$C$118+0*Costeo!$D$118+$A166*Costeo!$E$118)-250)*Costeo!$B$52+(MAX(0,ROUNDUP(((0*Costeo!$B$116+0*Costeo!$C$116)+(0*Costeo!$D$116+$A166*Costeo!$E$116)*0.05)*2,0)-8)+(0*Costeo!$B$131+0*Costeo!$C$131+0*Costeo!$D$131+$A166*Costeo!$E$131))*Costeo!$B$54+IF((0*Costeo!$B$36+0*Costeo!$C$36)&lt;=2000,10,IF((0*Costeo!$B$36+0*Costeo!$C$36)&lt;=5000,15,IF((0*Costeo!$B$36+0*Costeo!$C$36)&lt;=10000,60,110)))-10)*Costeo!$B$51,2))+(ROUND((MAX(0,(0*Costeo!$B$130+0*Costeo!$C$130+0*Costeo!$D$130+$A166*Costeo!$E$130)+20*2*2*Costeo!$B$69+30*(1/3600*Costeo!$B$55+5/3600*Costeo!$B$56)-Costeo!$B$58)+IF(AND((0*Costeo!$B$120+0*Costeo!$C$120+0*Costeo!$D$120+$A166*Costeo!$E$120)&lt;=1000000,(0*Costeo!$B$119+0*Costeo!$C$119+0*Costeo!$D$119+$A166*Costeo!$E$119)&lt;=1000),0,IF((0*Costeo!$B$120+0*Costeo!$C$120+0*Costeo!$D$120+$A166*Costeo!$E$120)&lt;=10000000,20,IF((0*Costeo!$B$120+0*Costeo!$C$120+0*Costeo!$D$120+$A166*Costeo!$E$120)&lt;=50000000,100,300)))+MAX(0,ROUNDUP((0*Costeo!$B$36+0*Costeo!$C$36+0*Costeo!$D$36+$A166*Costeo!$E$36)/5000,0)-1)*Costeo!$B$62+IF((0*Costeo!$B$36+0*Costeo!$C$36+0*Costeo!$D$36+$A166*Costeo!$E$36)&gt;5000,32-Costeo!$B$61,0))*Costeo!$B$51,2))))&gt;=0),$A166,1000000000)</f>
        <v>1000000000</v>
      </c>
    </row>
    <row r="167" hidden="1" outlineLevel="1" ht="30" customHeight="1" s="61">
      <c r="A167" s="52" t="n">
        <v>116</v>
      </c>
      <c r="B167" s="121">
        <f>IF(AND($A167*Costeo!$B$36&lt;=10000,(($A167)*$D$9-$B$4-((ROUND((MAX(0,($A167*Costeo!$B$117+0*Costeo!$C$117+0*Costeo!$D$117+0*Costeo!$E$117)-100)*Costeo!$B$53+MAX(0,($A167*Costeo!$B$118+0*Costeo!$C$118+0*Costeo!$D$118+0*Costeo!$E$118)-250)*Costeo!$B$52+(MAX(0,ROUNDUP((($A167*Costeo!$B$116+0*Costeo!$C$116)+(0*Costeo!$D$116+0*Costeo!$E$116)*0.05)*2,0)-8)+($A167*Costeo!$B$131+0*Costeo!$C$131+0*Costeo!$D$131+0*Costeo!$E$131))*Costeo!$B$54+IF(($A167*Costeo!$B$36+0*Costeo!$C$36)&lt;=2000,10,IF(($A167*Costeo!$B$36+0*Costeo!$C$36)&lt;=5000,15,IF(($A167*Costeo!$B$36+0*Costeo!$C$36)&lt;=10000,60,110)))-10)*Costeo!$B$51,2))+(ROUND((MAX(0,($A167*Costeo!$B$130+0*Costeo!$C$130+0*Costeo!$D$130+0*Costeo!$E$130)+20*2*2*Costeo!$B$69+30*(1/3600*Costeo!$B$55+5/3600*Costeo!$B$56)-Costeo!$B$58)+IF(AND(($A167*Costeo!$B$120+0*Costeo!$C$120+0*Costeo!$D$120+0*Costeo!$E$120)&lt;=1000000,($A167*Costeo!$B$119+0*Costeo!$C$119+0*Costeo!$D$119+0*Costeo!$E$119)&lt;=1000),0,IF(($A167*Costeo!$B$120+0*Costeo!$C$120+0*Costeo!$D$120+0*Costeo!$E$120)&lt;=10000000,20,IF(($A167*Costeo!$B$120+0*Costeo!$C$120+0*Costeo!$D$120+0*Costeo!$E$120)&lt;=50000000,100,300)))+MAX(0,ROUNDUP(($A167*Costeo!$B$36+0*Costeo!$C$36+0*Costeo!$D$36+0*Costeo!$E$36)/5000,0)-1)*Costeo!$B$62+IF(($A167*Costeo!$B$36+0*Costeo!$C$36+0*Costeo!$D$36+0*Costeo!$E$36)&gt;5000,32-Costeo!$B$61,0))*Costeo!$B$51,2))))&gt;=0),$A167,1000000000)</f>
        <v>116</v>
      </c>
      <c r="C167" s="121">
        <f>IF(AND($A167*Costeo!$C$36&lt;=10000,(($A167)*$D$10-$B$4-((ROUND((MAX(0,(0*Costeo!$B$117+$A167*Costeo!$C$117+0*Costeo!$D$117+0*Costeo!$E$117)-100)*Costeo!$B$53+MAX(0,(0*Costeo!$B$118+$A167*Costeo!$C$118+0*Costeo!$D$118+0*Costeo!$E$118)-250)*Costeo!$B$52+(MAX(0,ROUNDUP(((0*Costeo!$B$116+$A167*Costeo!$C$116)+(0*Costeo!$D$116+0*Costeo!$E$116)*0.05)*2,0)-8)+(0*Costeo!$B$131+$A167*Costeo!$C$131+0*Costeo!$D$131+0*Costeo!$E$131))*Costeo!$B$54+IF((0*Costeo!$B$36+$A167*Costeo!$C$36)&lt;=2000,10,IF((0*Costeo!$B$36+$A167*Costeo!$C$36)&lt;=5000,15,IF((0*Costeo!$B$36+$A167*Costeo!$C$36)&lt;=10000,60,110)))-10)*Costeo!$B$51,2))+(ROUND((MAX(0,(0*Costeo!$B$130+$A167*Costeo!$C$130+0*Costeo!$D$130+0*Costeo!$E$130)+20*2*2*Costeo!$B$69+30*(1/3600*Costeo!$B$55+5/3600*Costeo!$B$56)-Costeo!$B$58)+IF(AND((0*Costeo!$B$120+$A167*Costeo!$C$120+0*Costeo!$D$120+0*Costeo!$E$120)&lt;=1000000,(0*Costeo!$B$119+$A167*Costeo!$C$119+0*Costeo!$D$119+0*Costeo!$E$119)&lt;=1000),0,IF((0*Costeo!$B$120+$A167*Costeo!$C$120+0*Costeo!$D$120+0*Costeo!$E$120)&lt;=10000000,20,IF((0*Costeo!$B$120+$A167*Costeo!$C$120+0*Costeo!$D$120+0*Costeo!$E$120)&lt;=50000000,100,300)))+MAX(0,ROUNDUP((0*Costeo!$B$36+$A167*Costeo!$C$36+0*Costeo!$D$36+0*Costeo!$E$36)/5000,0)-1)*Costeo!$B$62+IF((0*Costeo!$B$36+$A167*Costeo!$C$36+0*Costeo!$D$36+0*Costeo!$E$36)&gt;5000,32-Costeo!$B$61,0))*Costeo!$B$51,2))))&gt;=0),$A167,1000000000)</f>
        <v>1000000000</v>
      </c>
      <c r="D167" s="121">
        <f>IF(AND($A167*Costeo!$D$36&lt;=10000,(($A167)*$D$11-$B$4-((ROUND((MAX(0,(0*Costeo!$B$117+0*Costeo!$C$117+$A167*Costeo!$D$117+0*Costeo!$E$117)-100)*Costeo!$B$53+MAX(0,(0*Costeo!$B$118+0*Costeo!$C$118+$A167*Costeo!$D$118+0*Costeo!$E$118)-250)*Costeo!$B$52+(MAX(0,ROUNDUP(((0*Costeo!$B$116+0*Costeo!$C$116)+($A167*Costeo!$D$116+0*Costeo!$E$116)*0.05)*2,0)-8)+(0*Costeo!$B$131+0*Costeo!$C$131+$A167*Costeo!$D$131+0*Costeo!$E$131))*Costeo!$B$54+IF((0*Costeo!$B$36+0*Costeo!$C$36)&lt;=2000,10,IF((0*Costeo!$B$36+0*Costeo!$C$36)&lt;=5000,15,IF((0*Costeo!$B$36+0*Costeo!$C$36)&lt;=10000,60,110)))-10)*Costeo!$B$51,2))+(ROUND((MAX(0,(0*Costeo!$B$130+0*Costeo!$C$130+$A167*Costeo!$D$130+0*Costeo!$E$130)+20*2*2*Costeo!$B$69+30*(1/3600*Costeo!$B$55+5/3600*Costeo!$B$56)-Costeo!$B$58)+IF(AND((0*Costeo!$B$120+0*Costeo!$C$120+$A167*Costeo!$D$120+0*Costeo!$E$120)&lt;=1000000,(0*Costeo!$B$119+0*Costeo!$C$119+$A167*Costeo!$D$119+0*Costeo!$E$119)&lt;=1000),0,IF((0*Costeo!$B$120+0*Costeo!$C$120+$A167*Costeo!$D$120+0*Costeo!$E$120)&lt;=10000000,20,IF((0*Costeo!$B$120+0*Costeo!$C$120+$A167*Costeo!$D$120+0*Costeo!$E$120)&lt;=50000000,100,300)))+MAX(0,ROUNDUP((0*Costeo!$B$36+0*Costeo!$C$36+$A167*Costeo!$D$36+0*Costeo!$E$36)/5000,0)-1)*Costeo!$B$62+IF((0*Costeo!$B$36+0*Costeo!$C$36+$A167*Costeo!$D$36+0*Costeo!$E$36)&gt;5000,32-Costeo!$B$61,0))*Costeo!$B$51,2))))&gt;=0),$A167,1000000000)</f>
        <v>1000000000</v>
      </c>
      <c r="E167" s="121">
        <f>IF(AND($A167*Costeo!$E$36&lt;=10000,(($A167)*$D$12-$B$4-((ROUND((MAX(0,(0*Costeo!$B$117+0*Costeo!$C$117+0*Costeo!$D$117+$A167*Costeo!$E$117)-100)*Costeo!$B$53+MAX(0,(0*Costeo!$B$118+0*Costeo!$C$118+0*Costeo!$D$118+$A167*Costeo!$E$118)-250)*Costeo!$B$52+(MAX(0,ROUNDUP(((0*Costeo!$B$116+0*Costeo!$C$116)+(0*Costeo!$D$116+$A167*Costeo!$E$116)*0.05)*2,0)-8)+(0*Costeo!$B$131+0*Costeo!$C$131+0*Costeo!$D$131+$A167*Costeo!$E$131))*Costeo!$B$54+IF((0*Costeo!$B$36+0*Costeo!$C$36)&lt;=2000,10,IF((0*Costeo!$B$36+0*Costeo!$C$36)&lt;=5000,15,IF((0*Costeo!$B$36+0*Costeo!$C$36)&lt;=10000,60,110)))-10)*Costeo!$B$51,2))+(ROUND((MAX(0,(0*Costeo!$B$130+0*Costeo!$C$130+0*Costeo!$D$130+$A167*Costeo!$E$130)+20*2*2*Costeo!$B$69+30*(1/3600*Costeo!$B$55+5/3600*Costeo!$B$56)-Costeo!$B$58)+IF(AND((0*Costeo!$B$120+0*Costeo!$C$120+0*Costeo!$D$120+$A167*Costeo!$E$120)&lt;=1000000,(0*Costeo!$B$119+0*Costeo!$C$119+0*Costeo!$D$119+$A167*Costeo!$E$119)&lt;=1000),0,IF((0*Costeo!$B$120+0*Costeo!$C$120+0*Costeo!$D$120+$A167*Costeo!$E$120)&lt;=10000000,20,IF((0*Costeo!$B$120+0*Costeo!$C$120+0*Costeo!$D$120+$A167*Costeo!$E$120)&lt;=50000000,100,300)))+MAX(0,ROUNDUP((0*Costeo!$B$36+0*Costeo!$C$36+0*Costeo!$D$36+$A167*Costeo!$E$36)/5000,0)-1)*Costeo!$B$62+IF((0*Costeo!$B$36+0*Costeo!$C$36+0*Costeo!$D$36+$A167*Costeo!$E$36)&gt;5000,32-Costeo!$B$61,0))*Costeo!$B$51,2))))&gt;=0),$A167,1000000000)</f>
        <v>1000000000</v>
      </c>
    </row>
    <row r="168" hidden="1" outlineLevel="1" ht="30" customHeight="1" s="61">
      <c r="A168" s="52" t="n">
        <v>117</v>
      </c>
      <c r="B168" s="121">
        <f>IF(AND($A168*Costeo!$B$36&lt;=10000,(($A168)*$D$9-$B$4-((ROUND((MAX(0,($A168*Costeo!$B$117+0*Costeo!$C$117+0*Costeo!$D$117+0*Costeo!$E$117)-100)*Costeo!$B$53+MAX(0,($A168*Costeo!$B$118+0*Costeo!$C$118+0*Costeo!$D$118+0*Costeo!$E$118)-250)*Costeo!$B$52+(MAX(0,ROUNDUP((($A168*Costeo!$B$116+0*Costeo!$C$116)+(0*Costeo!$D$116+0*Costeo!$E$116)*0.05)*2,0)-8)+($A168*Costeo!$B$131+0*Costeo!$C$131+0*Costeo!$D$131+0*Costeo!$E$131))*Costeo!$B$54+IF(($A168*Costeo!$B$36+0*Costeo!$C$36)&lt;=2000,10,IF(($A168*Costeo!$B$36+0*Costeo!$C$36)&lt;=5000,15,IF(($A168*Costeo!$B$36+0*Costeo!$C$36)&lt;=10000,60,110)))-10)*Costeo!$B$51,2))+(ROUND((MAX(0,($A168*Costeo!$B$130+0*Costeo!$C$130+0*Costeo!$D$130+0*Costeo!$E$130)+20*2*2*Costeo!$B$69+30*(1/3600*Costeo!$B$55+5/3600*Costeo!$B$56)-Costeo!$B$58)+IF(AND(($A168*Costeo!$B$120+0*Costeo!$C$120+0*Costeo!$D$120+0*Costeo!$E$120)&lt;=1000000,($A168*Costeo!$B$119+0*Costeo!$C$119+0*Costeo!$D$119+0*Costeo!$E$119)&lt;=1000),0,IF(($A168*Costeo!$B$120+0*Costeo!$C$120+0*Costeo!$D$120+0*Costeo!$E$120)&lt;=10000000,20,IF(($A168*Costeo!$B$120+0*Costeo!$C$120+0*Costeo!$D$120+0*Costeo!$E$120)&lt;=50000000,100,300)))+MAX(0,ROUNDUP(($A168*Costeo!$B$36+0*Costeo!$C$36+0*Costeo!$D$36+0*Costeo!$E$36)/5000,0)-1)*Costeo!$B$62+IF(($A168*Costeo!$B$36+0*Costeo!$C$36+0*Costeo!$D$36+0*Costeo!$E$36)&gt;5000,32-Costeo!$B$61,0))*Costeo!$B$51,2))))&gt;=0),$A168,1000000000)</f>
        <v>117</v>
      </c>
      <c r="C168" s="121">
        <f>IF(AND($A168*Costeo!$C$36&lt;=10000,(($A168)*$D$10-$B$4-((ROUND((MAX(0,(0*Costeo!$B$117+$A168*Costeo!$C$117+0*Costeo!$D$117+0*Costeo!$E$117)-100)*Costeo!$B$53+MAX(0,(0*Costeo!$B$118+$A168*Costeo!$C$118+0*Costeo!$D$118+0*Costeo!$E$118)-250)*Costeo!$B$52+(MAX(0,ROUNDUP(((0*Costeo!$B$116+$A168*Costeo!$C$116)+(0*Costeo!$D$116+0*Costeo!$E$116)*0.05)*2,0)-8)+(0*Costeo!$B$131+$A168*Costeo!$C$131+0*Costeo!$D$131+0*Costeo!$E$131))*Costeo!$B$54+IF((0*Costeo!$B$36+$A168*Costeo!$C$36)&lt;=2000,10,IF((0*Costeo!$B$36+$A168*Costeo!$C$36)&lt;=5000,15,IF((0*Costeo!$B$36+$A168*Costeo!$C$36)&lt;=10000,60,110)))-10)*Costeo!$B$51,2))+(ROUND((MAX(0,(0*Costeo!$B$130+$A168*Costeo!$C$130+0*Costeo!$D$130+0*Costeo!$E$130)+20*2*2*Costeo!$B$69+30*(1/3600*Costeo!$B$55+5/3600*Costeo!$B$56)-Costeo!$B$58)+IF(AND((0*Costeo!$B$120+$A168*Costeo!$C$120+0*Costeo!$D$120+0*Costeo!$E$120)&lt;=1000000,(0*Costeo!$B$119+$A168*Costeo!$C$119+0*Costeo!$D$119+0*Costeo!$E$119)&lt;=1000),0,IF((0*Costeo!$B$120+$A168*Costeo!$C$120+0*Costeo!$D$120+0*Costeo!$E$120)&lt;=10000000,20,IF((0*Costeo!$B$120+$A168*Costeo!$C$120+0*Costeo!$D$120+0*Costeo!$E$120)&lt;=50000000,100,300)))+MAX(0,ROUNDUP((0*Costeo!$B$36+$A168*Costeo!$C$36+0*Costeo!$D$36+0*Costeo!$E$36)/5000,0)-1)*Costeo!$B$62+IF((0*Costeo!$B$36+$A168*Costeo!$C$36+0*Costeo!$D$36+0*Costeo!$E$36)&gt;5000,32-Costeo!$B$61,0))*Costeo!$B$51,2))))&gt;=0),$A168,1000000000)</f>
        <v>1000000000</v>
      </c>
      <c r="D168" s="121">
        <f>IF(AND($A168*Costeo!$D$36&lt;=10000,(($A168)*$D$11-$B$4-((ROUND((MAX(0,(0*Costeo!$B$117+0*Costeo!$C$117+$A168*Costeo!$D$117+0*Costeo!$E$117)-100)*Costeo!$B$53+MAX(0,(0*Costeo!$B$118+0*Costeo!$C$118+$A168*Costeo!$D$118+0*Costeo!$E$118)-250)*Costeo!$B$52+(MAX(0,ROUNDUP(((0*Costeo!$B$116+0*Costeo!$C$116)+($A168*Costeo!$D$116+0*Costeo!$E$116)*0.05)*2,0)-8)+(0*Costeo!$B$131+0*Costeo!$C$131+$A168*Costeo!$D$131+0*Costeo!$E$131))*Costeo!$B$54+IF((0*Costeo!$B$36+0*Costeo!$C$36)&lt;=2000,10,IF((0*Costeo!$B$36+0*Costeo!$C$36)&lt;=5000,15,IF((0*Costeo!$B$36+0*Costeo!$C$36)&lt;=10000,60,110)))-10)*Costeo!$B$51,2))+(ROUND((MAX(0,(0*Costeo!$B$130+0*Costeo!$C$130+$A168*Costeo!$D$130+0*Costeo!$E$130)+20*2*2*Costeo!$B$69+30*(1/3600*Costeo!$B$55+5/3600*Costeo!$B$56)-Costeo!$B$58)+IF(AND((0*Costeo!$B$120+0*Costeo!$C$120+$A168*Costeo!$D$120+0*Costeo!$E$120)&lt;=1000000,(0*Costeo!$B$119+0*Costeo!$C$119+$A168*Costeo!$D$119+0*Costeo!$E$119)&lt;=1000),0,IF((0*Costeo!$B$120+0*Costeo!$C$120+$A168*Costeo!$D$120+0*Costeo!$E$120)&lt;=10000000,20,IF((0*Costeo!$B$120+0*Costeo!$C$120+$A168*Costeo!$D$120+0*Costeo!$E$120)&lt;=50000000,100,300)))+MAX(0,ROUNDUP((0*Costeo!$B$36+0*Costeo!$C$36+$A168*Costeo!$D$36+0*Costeo!$E$36)/5000,0)-1)*Costeo!$B$62+IF((0*Costeo!$B$36+0*Costeo!$C$36+$A168*Costeo!$D$36+0*Costeo!$E$36)&gt;5000,32-Costeo!$B$61,0))*Costeo!$B$51,2))))&gt;=0),$A168,1000000000)</f>
        <v>1000000000</v>
      </c>
      <c r="E168" s="121">
        <f>IF(AND($A168*Costeo!$E$36&lt;=10000,(($A168)*$D$12-$B$4-((ROUND((MAX(0,(0*Costeo!$B$117+0*Costeo!$C$117+0*Costeo!$D$117+$A168*Costeo!$E$117)-100)*Costeo!$B$53+MAX(0,(0*Costeo!$B$118+0*Costeo!$C$118+0*Costeo!$D$118+$A168*Costeo!$E$118)-250)*Costeo!$B$52+(MAX(0,ROUNDUP(((0*Costeo!$B$116+0*Costeo!$C$116)+(0*Costeo!$D$116+$A168*Costeo!$E$116)*0.05)*2,0)-8)+(0*Costeo!$B$131+0*Costeo!$C$131+0*Costeo!$D$131+$A168*Costeo!$E$131))*Costeo!$B$54+IF((0*Costeo!$B$36+0*Costeo!$C$36)&lt;=2000,10,IF((0*Costeo!$B$36+0*Costeo!$C$36)&lt;=5000,15,IF((0*Costeo!$B$36+0*Costeo!$C$36)&lt;=10000,60,110)))-10)*Costeo!$B$51,2))+(ROUND((MAX(0,(0*Costeo!$B$130+0*Costeo!$C$130+0*Costeo!$D$130+$A168*Costeo!$E$130)+20*2*2*Costeo!$B$69+30*(1/3600*Costeo!$B$55+5/3600*Costeo!$B$56)-Costeo!$B$58)+IF(AND((0*Costeo!$B$120+0*Costeo!$C$120+0*Costeo!$D$120+$A168*Costeo!$E$120)&lt;=1000000,(0*Costeo!$B$119+0*Costeo!$C$119+0*Costeo!$D$119+$A168*Costeo!$E$119)&lt;=1000),0,IF((0*Costeo!$B$120+0*Costeo!$C$120+0*Costeo!$D$120+$A168*Costeo!$E$120)&lt;=10000000,20,IF((0*Costeo!$B$120+0*Costeo!$C$120+0*Costeo!$D$120+$A168*Costeo!$E$120)&lt;=50000000,100,300)))+MAX(0,ROUNDUP((0*Costeo!$B$36+0*Costeo!$C$36+0*Costeo!$D$36+$A168*Costeo!$E$36)/5000,0)-1)*Costeo!$B$62+IF((0*Costeo!$B$36+0*Costeo!$C$36+0*Costeo!$D$36+$A168*Costeo!$E$36)&gt;5000,32-Costeo!$B$61,0))*Costeo!$B$51,2))))&gt;=0),$A168,1000000000)</f>
        <v>1000000000</v>
      </c>
    </row>
    <row r="169" hidden="1" outlineLevel="1" ht="30" customHeight="1" s="61">
      <c r="A169" s="52" t="n">
        <v>118</v>
      </c>
      <c r="B169" s="121">
        <f>IF(AND($A169*Costeo!$B$36&lt;=10000,(($A169)*$D$9-$B$4-((ROUND((MAX(0,($A169*Costeo!$B$117+0*Costeo!$C$117+0*Costeo!$D$117+0*Costeo!$E$117)-100)*Costeo!$B$53+MAX(0,($A169*Costeo!$B$118+0*Costeo!$C$118+0*Costeo!$D$118+0*Costeo!$E$118)-250)*Costeo!$B$52+(MAX(0,ROUNDUP((($A169*Costeo!$B$116+0*Costeo!$C$116)+(0*Costeo!$D$116+0*Costeo!$E$116)*0.05)*2,0)-8)+($A169*Costeo!$B$131+0*Costeo!$C$131+0*Costeo!$D$131+0*Costeo!$E$131))*Costeo!$B$54+IF(($A169*Costeo!$B$36+0*Costeo!$C$36)&lt;=2000,10,IF(($A169*Costeo!$B$36+0*Costeo!$C$36)&lt;=5000,15,IF(($A169*Costeo!$B$36+0*Costeo!$C$36)&lt;=10000,60,110)))-10)*Costeo!$B$51,2))+(ROUND((MAX(0,($A169*Costeo!$B$130+0*Costeo!$C$130+0*Costeo!$D$130+0*Costeo!$E$130)+20*2*2*Costeo!$B$69+30*(1/3600*Costeo!$B$55+5/3600*Costeo!$B$56)-Costeo!$B$58)+IF(AND(($A169*Costeo!$B$120+0*Costeo!$C$120+0*Costeo!$D$120+0*Costeo!$E$120)&lt;=1000000,($A169*Costeo!$B$119+0*Costeo!$C$119+0*Costeo!$D$119+0*Costeo!$E$119)&lt;=1000),0,IF(($A169*Costeo!$B$120+0*Costeo!$C$120+0*Costeo!$D$120+0*Costeo!$E$120)&lt;=10000000,20,IF(($A169*Costeo!$B$120+0*Costeo!$C$120+0*Costeo!$D$120+0*Costeo!$E$120)&lt;=50000000,100,300)))+MAX(0,ROUNDUP(($A169*Costeo!$B$36+0*Costeo!$C$36+0*Costeo!$D$36+0*Costeo!$E$36)/5000,0)-1)*Costeo!$B$62+IF(($A169*Costeo!$B$36+0*Costeo!$C$36+0*Costeo!$D$36+0*Costeo!$E$36)&gt;5000,32-Costeo!$B$61,0))*Costeo!$B$51,2))))&gt;=0),$A169,1000000000)</f>
        <v>118</v>
      </c>
      <c r="C169" s="121">
        <f>IF(AND($A169*Costeo!$C$36&lt;=10000,(($A169)*$D$10-$B$4-((ROUND((MAX(0,(0*Costeo!$B$117+$A169*Costeo!$C$117+0*Costeo!$D$117+0*Costeo!$E$117)-100)*Costeo!$B$53+MAX(0,(0*Costeo!$B$118+$A169*Costeo!$C$118+0*Costeo!$D$118+0*Costeo!$E$118)-250)*Costeo!$B$52+(MAX(0,ROUNDUP(((0*Costeo!$B$116+$A169*Costeo!$C$116)+(0*Costeo!$D$116+0*Costeo!$E$116)*0.05)*2,0)-8)+(0*Costeo!$B$131+$A169*Costeo!$C$131+0*Costeo!$D$131+0*Costeo!$E$131))*Costeo!$B$54+IF((0*Costeo!$B$36+$A169*Costeo!$C$36)&lt;=2000,10,IF((0*Costeo!$B$36+$A169*Costeo!$C$36)&lt;=5000,15,IF((0*Costeo!$B$36+$A169*Costeo!$C$36)&lt;=10000,60,110)))-10)*Costeo!$B$51,2))+(ROUND((MAX(0,(0*Costeo!$B$130+$A169*Costeo!$C$130+0*Costeo!$D$130+0*Costeo!$E$130)+20*2*2*Costeo!$B$69+30*(1/3600*Costeo!$B$55+5/3600*Costeo!$B$56)-Costeo!$B$58)+IF(AND((0*Costeo!$B$120+$A169*Costeo!$C$120+0*Costeo!$D$120+0*Costeo!$E$120)&lt;=1000000,(0*Costeo!$B$119+$A169*Costeo!$C$119+0*Costeo!$D$119+0*Costeo!$E$119)&lt;=1000),0,IF((0*Costeo!$B$120+$A169*Costeo!$C$120+0*Costeo!$D$120+0*Costeo!$E$120)&lt;=10000000,20,IF((0*Costeo!$B$120+$A169*Costeo!$C$120+0*Costeo!$D$120+0*Costeo!$E$120)&lt;=50000000,100,300)))+MAX(0,ROUNDUP((0*Costeo!$B$36+$A169*Costeo!$C$36+0*Costeo!$D$36+0*Costeo!$E$36)/5000,0)-1)*Costeo!$B$62+IF((0*Costeo!$B$36+$A169*Costeo!$C$36+0*Costeo!$D$36+0*Costeo!$E$36)&gt;5000,32-Costeo!$B$61,0))*Costeo!$B$51,2))))&gt;=0),$A169,1000000000)</f>
        <v>1000000000</v>
      </c>
      <c r="D169" s="121">
        <f>IF(AND($A169*Costeo!$D$36&lt;=10000,(($A169)*$D$11-$B$4-((ROUND((MAX(0,(0*Costeo!$B$117+0*Costeo!$C$117+$A169*Costeo!$D$117+0*Costeo!$E$117)-100)*Costeo!$B$53+MAX(0,(0*Costeo!$B$118+0*Costeo!$C$118+$A169*Costeo!$D$118+0*Costeo!$E$118)-250)*Costeo!$B$52+(MAX(0,ROUNDUP(((0*Costeo!$B$116+0*Costeo!$C$116)+($A169*Costeo!$D$116+0*Costeo!$E$116)*0.05)*2,0)-8)+(0*Costeo!$B$131+0*Costeo!$C$131+$A169*Costeo!$D$131+0*Costeo!$E$131))*Costeo!$B$54+IF((0*Costeo!$B$36+0*Costeo!$C$36)&lt;=2000,10,IF((0*Costeo!$B$36+0*Costeo!$C$36)&lt;=5000,15,IF((0*Costeo!$B$36+0*Costeo!$C$36)&lt;=10000,60,110)))-10)*Costeo!$B$51,2))+(ROUND((MAX(0,(0*Costeo!$B$130+0*Costeo!$C$130+$A169*Costeo!$D$130+0*Costeo!$E$130)+20*2*2*Costeo!$B$69+30*(1/3600*Costeo!$B$55+5/3600*Costeo!$B$56)-Costeo!$B$58)+IF(AND((0*Costeo!$B$120+0*Costeo!$C$120+$A169*Costeo!$D$120+0*Costeo!$E$120)&lt;=1000000,(0*Costeo!$B$119+0*Costeo!$C$119+$A169*Costeo!$D$119+0*Costeo!$E$119)&lt;=1000),0,IF((0*Costeo!$B$120+0*Costeo!$C$120+$A169*Costeo!$D$120+0*Costeo!$E$120)&lt;=10000000,20,IF((0*Costeo!$B$120+0*Costeo!$C$120+$A169*Costeo!$D$120+0*Costeo!$E$120)&lt;=50000000,100,300)))+MAX(0,ROUNDUP((0*Costeo!$B$36+0*Costeo!$C$36+$A169*Costeo!$D$36+0*Costeo!$E$36)/5000,0)-1)*Costeo!$B$62+IF((0*Costeo!$B$36+0*Costeo!$C$36+$A169*Costeo!$D$36+0*Costeo!$E$36)&gt;5000,32-Costeo!$B$61,0))*Costeo!$B$51,2))))&gt;=0),$A169,1000000000)</f>
        <v>1000000000</v>
      </c>
      <c r="E169" s="121">
        <f>IF(AND($A169*Costeo!$E$36&lt;=10000,(($A169)*$D$12-$B$4-((ROUND((MAX(0,(0*Costeo!$B$117+0*Costeo!$C$117+0*Costeo!$D$117+$A169*Costeo!$E$117)-100)*Costeo!$B$53+MAX(0,(0*Costeo!$B$118+0*Costeo!$C$118+0*Costeo!$D$118+$A169*Costeo!$E$118)-250)*Costeo!$B$52+(MAX(0,ROUNDUP(((0*Costeo!$B$116+0*Costeo!$C$116)+(0*Costeo!$D$116+$A169*Costeo!$E$116)*0.05)*2,0)-8)+(0*Costeo!$B$131+0*Costeo!$C$131+0*Costeo!$D$131+$A169*Costeo!$E$131))*Costeo!$B$54+IF((0*Costeo!$B$36+0*Costeo!$C$36)&lt;=2000,10,IF((0*Costeo!$B$36+0*Costeo!$C$36)&lt;=5000,15,IF((0*Costeo!$B$36+0*Costeo!$C$36)&lt;=10000,60,110)))-10)*Costeo!$B$51,2))+(ROUND((MAX(0,(0*Costeo!$B$130+0*Costeo!$C$130+0*Costeo!$D$130+$A169*Costeo!$E$130)+20*2*2*Costeo!$B$69+30*(1/3600*Costeo!$B$55+5/3600*Costeo!$B$56)-Costeo!$B$58)+IF(AND((0*Costeo!$B$120+0*Costeo!$C$120+0*Costeo!$D$120+$A169*Costeo!$E$120)&lt;=1000000,(0*Costeo!$B$119+0*Costeo!$C$119+0*Costeo!$D$119+$A169*Costeo!$E$119)&lt;=1000),0,IF((0*Costeo!$B$120+0*Costeo!$C$120+0*Costeo!$D$120+$A169*Costeo!$E$120)&lt;=10000000,20,IF((0*Costeo!$B$120+0*Costeo!$C$120+0*Costeo!$D$120+$A169*Costeo!$E$120)&lt;=50000000,100,300)))+MAX(0,ROUNDUP((0*Costeo!$B$36+0*Costeo!$C$36+0*Costeo!$D$36+$A169*Costeo!$E$36)/5000,0)-1)*Costeo!$B$62+IF((0*Costeo!$B$36+0*Costeo!$C$36+0*Costeo!$D$36+$A169*Costeo!$E$36)&gt;5000,32-Costeo!$B$61,0))*Costeo!$B$51,2))))&gt;=0),$A169,1000000000)</f>
        <v>1000000000</v>
      </c>
    </row>
    <row r="170" hidden="1" outlineLevel="1" ht="30" customHeight="1" s="61">
      <c r="A170" s="52" t="n">
        <v>119</v>
      </c>
      <c r="B170" s="121">
        <f>IF(AND($A170*Costeo!$B$36&lt;=10000,(($A170)*$D$9-$B$4-((ROUND((MAX(0,($A170*Costeo!$B$117+0*Costeo!$C$117+0*Costeo!$D$117+0*Costeo!$E$117)-100)*Costeo!$B$53+MAX(0,($A170*Costeo!$B$118+0*Costeo!$C$118+0*Costeo!$D$118+0*Costeo!$E$118)-250)*Costeo!$B$52+(MAX(0,ROUNDUP((($A170*Costeo!$B$116+0*Costeo!$C$116)+(0*Costeo!$D$116+0*Costeo!$E$116)*0.05)*2,0)-8)+($A170*Costeo!$B$131+0*Costeo!$C$131+0*Costeo!$D$131+0*Costeo!$E$131))*Costeo!$B$54+IF(($A170*Costeo!$B$36+0*Costeo!$C$36)&lt;=2000,10,IF(($A170*Costeo!$B$36+0*Costeo!$C$36)&lt;=5000,15,IF(($A170*Costeo!$B$36+0*Costeo!$C$36)&lt;=10000,60,110)))-10)*Costeo!$B$51,2))+(ROUND((MAX(0,($A170*Costeo!$B$130+0*Costeo!$C$130+0*Costeo!$D$130+0*Costeo!$E$130)+20*2*2*Costeo!$B$69+30*(1/3600*Costeo!$B$55+5/3600*Costeo!$B$56)-Costeo!$B$58)+IF(AND(($A170*Costeo!$B$120+0*Costeo!$C$120+0*Costeo!$D$120+0*Costeo!$E$120)&lt;=1000000,($A170*Costeo!$B$119+0*Costeo!$C$119+0*Costeo!$D$119+0*Costeo!$E$119)&lt;=1000),0,IF(($A170*Costeo!$B$120+0*Costeo!$C$120+0*Costeo!$D$120+0*Costeo!$E$120)&lt;=10000000,20,IF(($A170*Costeo!$B$120+0*Costeo!$C$120+0*Costeo!$D$120+0*Costeo!$E$120)&lt;=50000000,100,300)))+MAX(0,ROUNDUP(($A170*Costeo!$B$36+0*Costeo!$C$36+0*Costeo!$D$36+0*Costeo!$E$36)/5000,0)-1)*Costeo!$B$62+IF(($A170*Costeo!$B$36+0*Costeo!$C$36+0*Costeo!$D$36+0*Costeo!$E$36)&gt;5000,32-Costeo!$B$61,0))*Costeo!$B$51,2))))&gt;=0),$A170,1000000000)</f>
        <v>119</v>
      </c>
      <c r="C170" s="121">
        <f>IF(AND($A170*Costeo!$C$36&lt;=10000,(($A170)*$D$10-$B$4-((ROUND((MAX(0,(0*Costeo!$B$117+$A170*Costeo!$C$117+0*Costeo!$D$117+0*Costeo!$E$117)-100)*Costeo!$B$53+MAX(0,(0*Costeo!$B$118+$A170*Costeo!$C$118+0*Costeo!$D$118+0*Costeo!$E$118)-250)*Costeo!$B$52+(MAX(0,ROUNDUP(((0*Costeo!$B$116+$A170*Costeo!$C$116)+(0*Costeo!$D$116+0*Costeo!$E$116)*0.05)*2,0)-8)+(0*Costeo!$B$131+$A170*Costeo!$C$131+0*Costeo!$D$131+0*Costeo!$E$131))*Costeo!$B$54+IF((0*Costeo!$B$36+$A170*Costeo!$C$36)&lt;=2000,10,IF((0*Costeo!$B$36+$A170*Costeo!$C$36)&lt;=5000,15,IF((0*Costeo!$B$36+$A170*Costeo!$C$36)&lt;=10000,60,110)))-10)*Costeo!$B$51,2))+(ROUND((MAX(0,(0*Costeo!$B$130+$A170*Costeo!$C$130+0*Costeo!$D$130+0*Costeo!$E$130)+20*2*2*Costeo!$B$69+30*(1/3600*Costeo!$B$55+5/3600*Costeo!$B$56)-Costeo!$B$58)+IF(AND((0*Costeo!$B$120+$A170*Costeo!$C$120+0*Costeo!$D$120+0*Costeo!$E$120)&lt;=1000000,(0*Costeo!$B$119+$A170*Costeo!$C$119+0*Costeo!$D$119+0*Costeo!$E$119)&lt;=1000),0,IF((0*Costeo!$B$120+$A170*Costeo!$C$120+0*Costeo!$D$120+0*Costeo!$E$120)&lt;=10000000,20,IF((0*Costeo!$B$120+$A170*Costeo!$C$120+0*Costeo!$D$120+0*Costeo!$E$120)&lt;=50000000,100,300)))+MAX(0,ROUNDUP((0*Costeo!$B$36+$A170*Costeo!$C$36+0*Costeo!$D$36+0*Costeo!$E$36)/5000,0)-1)*Costeo!$B$62+IF((0*Costeo!$B$36+$A170*Costeo!$C$36+0*Costeo!$D$36+0*Costeo!$E$36)&gt;5000,32-Costeo!$B$61,0))*Costeo!$B$51,2))))&gt;=0),$A170,1000000000)</f>
        <v>1000000000</v>
      </c>
      <c r="D170" s="121">
        <f>IF(AND($A170*Costeo!$D$36&lt;=10000,(($A170)*$D$11-$B$4-((ROUND((MAX(0,(0*Costeo!$B$117+0*Costeo!$C$117+$A170*Costeo!$D$117+0*Costeo!$E$117)-100)*Costeo!$B$53+MAX(0,(0*Costeo!$B$118+0*Costeo!$C$118+$A170*Costeo!$D$118+0*Costeo!$E$118)-250)*Costeo!$B$52+(MAX(0,ROUNDUP(((0*Costeo!$B$116+0*Costeo!$C$116)+($A170*Costeo!$D$116+0*Costeo!$E$116)*0.05)*2,0)-8)+(0*Costeo!$B$131+0*Costeo!$C$131+$A170*Costeo!$D$131+0*Costeo!$E$131))*Costeo!$B$54+IF((0*Costeo!$B$36+0*Costeo!$C$36)&lt;=2000,10,IF((0*Costeo!$B$36+0*Costeo!$C$36)&lt;=5000,15,IF((0*Costeo!$B$36+0*Costeo!$C$36)&lt;=10000,60,110)))-10)*Costeo!$B$51,2))+(ROUND((MAX(0,(0*Costeo!$B$130+0*Costeo!$C$130+$A170*Costeo!$D$130+0*Costeo!$E$130)+20*2*2*Costeo!$B$69+30*(1/3600*Costeo!$B$55+5/3600*Costeo!$B$56)-Costeo!$B$58)+IF(AND((0*Costeo!$B$120+0*Costeo!$C$120+$A170*Costeo!$D$120+0*Costeo!$E$120)&lt;=1000000,(0*Costeo!$B$119+0*Costeo!$C$119+$A170*Costeo!$D$119+0*Costeo!$E$119)&lt;=1000),0,IF((0*Costeo!$B$120+0*Costeo!$C$120+$A170*Costeo!$D$120+0*Costeo!$E$120)&lt;=10000000,20,IF((0*Costeo!$B$120+0*Costeo!$C$120+$A170*Costeo!$D$120+0*Costeo!$E$120)&lt;=50000000,100,300)))+MAX(0,ROUNDUP((0*Costeo!$B$36+0*Costeo!$C$36+$A170*Costeo!$D$36+0*Costeo!$E$36)/5000,0)-1)*Costeo!$B$62+IF((0*Costeo!$B$36+0*Costeo!$C$36+$A170*Costeo!$D$36+0*Costeo!$E$36)&gt;5000,32-Costeo!$B$61,0))*Costeo!$B$51,2))))&gt;=0),$A170,1000000000)</f>
        <v>1000000000</v>
      </c>
      <c r="E170" s="121">
        <f>IF(AND($A170*Costeo!$E$36&lt;=10000,(($A170)*$D$12-$B$4-((ROUND((MAX(0,(0*Costeo!$B$117+0*Costeo!$C$117+0*Costeo!$D$117+$A170*Costeo!$E$117)-100)*Costeo!$B$53+MAX(0,(0*Costeo!$B$118+0*Costeo!$C$118+0*Costeo!$D$118+$A170*Costeo!$E$118)-250)*Costeo!$B$52+(MAX(0,ROUNDUP(((0*Costeo!$B$116+0*Costeo!$C$116)+(0*Costeo!$D$116+$A170*Costeo!$E$116)*0.05)*2,0)-8)+(0*Costeo!$B$131+0*Costeo!$C$131+0*Costeo!$D$131+$A170*Costeo!$E$131))*Costeo!$B$54+IF((0*Costeo!$B$36+0*Costeo!$C$36)&lt;=2000,10,IF((0*Costeo!$B$36+0*Costeo!$C$36)&lt;=5000,15,IF((0*Costeo!$B$36+0*Costeo!$C$36)&lt;=10000,60,110)))-10)*Costeo!$B$51,2))+(ROUND((MAX(0,(0*Costeo!$B$130+0*Costeo!$C$130+0*Costeo!$D$130+$A170*Costeo!$E$130)+20*2*2*Costeo!$B$69+30*(1/3600*Costeo!$B$55+5/3600*Costeo!$B$56)-Costeo!$B$58)+IF(AND((0*Costeo!$B$120+0*Costeo!$C$120+0*Costeo!$D$120+$A170*Costeo!$E$120)&lt;=1000000,(0*Costeo!$B$119+0*Costeo!$C$119+0*Costeo!$D$119+$A170*Costeo!$E$119)&lt;=1000),0,IF((0*Costeo!$B$120+0*Costeo!$C$120+0*Costeo!$D$120+$A170*Costeo!$E$120)&lt;=10000000,20,IF((0*Costeo!$B$120+0*Costeo!$C$120+0*Costeo!$D$120+$A170*Costeo!$E$120)&lt;=50000000,100,300)))+MAX(0,ROUNDUP((0*Costeo!$B$36+0*Costeo!$C$36+0*Costeo!$D$36+$A170*Costeo!$E$36)/5000,0)-1)*Costeo!$B$62+IF((0*Costeo!$B$36+0*Costeo!$C$36+0*Costeo!$D$36+$A170*Costeo!$E$36)&gt;5000,32-Costeo!$B$61,0))*Costeo!$B$51,2))))&gt;=0),$A170,1000000000)</f>
        <v>1000000000</v>
      </c>
    </row>
    <row r="171" hidden="1" outlineLevel="1" ht="30" customHeight="1" s="61">
      <c r="A171" s="52" t="n">
        <v>120</v>
      </c>
      <c r="B171" s="121">
        <f>IF(AND($A171*Costeo!$B$36&lt;=10000,(($A171)*$D$9-$B$4-((ROUND((MAX(0,($A171*Costeo!$B$117+0*Costeo!$C$117+0*Costeo!$D$117+0*Costeo!$E$117)-100)*Costeo!$B$53+MAX(0,($A171*Costeo!$B$118+0*Costeo!$C$118+0*Costeo!$D$118+0*Costeo!$E$118)-250)*Costeo!$B$52+(MAX(0,ROUNDUP((($A171*Costeo!$B$116+0*Costeo!$C$116)+(0*Costeo!$D$116+0*Costeo!$E$116)*0.05)*2,0)-8)+($A171*Costeo!$B$131+0*Costeo!$C$131+0*Costeo!$D$131+0*Costeo!$E$131))*Costeo!$B$54+IF(($A171*Costeo!$B$36+0*Costeo!$C$36)&lt;=2000,10,IF(($A171*Costeo!$B$36+0*Costeo!$C$36)&lt;=5000,15,IF(($A171*Costeo!$B$36+0*Costeo!$C$36)&lt;=10000,60,110)))-10)*Costeo!$B$51,2))+(ROUND((MAX(0,($A171*Costeo!$B$130+0*Costeo!$C$130+0*Costeo!$D$130+0*Costeo!$E$130)+20*2*2*Costeo!$B$69+30*(1/3600*Costeo!$B$55+5/3600*Costeo!$B$56)-Costeo!$B$58)+IF(AND(($A171*Costeo!$B$120+0*Costeo!$C$120+0*Costeo!$D$120+0*Costeo!$E$120)&lt;=1000000,($A171*Costeo!$B$119+0*Costeo!$C$119+0*Costeo!$D$119+0*Costeo!$E$119)&lt;=1000),0,IF(($A171*Costeo!$B$120+0*Costeo!$C$120+0*Costeo!$D$120+0*Costeo!$E$120)&lt;=10000000,20,IF(($A171*Costeo!$B$120+0*Costeo!$C$120+0*Costeo!$D$120+0*Costeo!$E$120)&lt;=50000000,100,300)))+MAX(0,ROUNDUP(($A171*Costeo!$B$36+0*Costeo!$C$36+0*Costeo!$D$36+0*Costeo!$E$36)/5000,0)-1)*Costeo!$B$62+IF(($A171*Costeo!$B$36+0*Costeo!$C$36+0*Costeo!$D$36+0*Costeo!$E$36)&gt;5000,32-Costeo!$B$61,0))*Costeo!$B$51,2))))&gt;=0),$A171,1000000000)</f>
        <v>120</v>
      </c>
      <c r="C171" s="121">
        <f>IF(AND($A171*Costeo!$C$36&lt;=10000,(($A171)*$D$10-$B$4-((ROUND((MAX(0,(0*Costeo!$B$117+$A171*Costeo!$C$117+0*Costeo!$D$117+0*Costeo!$E$117)-100)*Costeo!$B$53+MAX(0,(0*Costeo!$B$118+$A171*Costeo!$C$118+0*Costeo!$D$118+0*Costeo!$E$118)-250)*Costeo!$B$52+(MAX(0,ROUNDUP(((0*Costeo!$B$116+$A171*Costeo!$C$116)+(0*Costeo!$D$116+0*Costeo!$E$116)*0.05)*2,0)-8)+(0*Costeo!$B$131+$A171*Costeo!$C$131+0*Costeo!$D$131+0*Costeo!$E$131))*Costeo!$B$54+IF((0*Costeo!$B$36+$A171*Costeo!$C$36)&lt;=2000,10,IF((0*Costeo!$B$36+$A171*Costeo!$C$36)&lt;=5000,15,IF((0*Costeo!$B$36+$A171*Costeo!$C$36)&lt;=10000,60,110)))-10)*Costeo!$B$51,2))+(ROUND((MAX(0,(0*Costeo!$B$130+$A171*Costeo!$C$130+0*Costeo!$D$130+0*Costeo!$E$130)+20*2*2*Costeo!$B$69+30*(1/3600*Costeo!$B$55+5/3600*Costeo!$B$56)-Costeo!$B$58)+IF(AND((0*Costeo!$B$120+$A171*Costeo!$C$120+0*Costeo!$D$120+0*Costeo!$E$120)&lt;=1000000,(0*Costeo!$B$119+$A171*Costeo!$C$119+0*Costeo!$D$119+0*Costeo!$E$119)&lt;=1000),0,IF((0*Costeo!$B$120+$A171*Costeo!$C$120+0*Costeo!$D$120+0*Costeo!$E$120)&lt;=10000000,20,IF((0*Costeo!$B$120+$A171*Costeo!$C$120+0*Costeo!$D$120+0*Costeo!$E$120)&lt;=50000000,100,300)))+MAX(0,ROUNDUP((0*Costeo!$B$36+$A171*Costeo!$C$36+0*Costeo!$D$36+0*Costeo!$E$36)/5000,0)-1)*Costeo!$B$62+IF((0*Costeo!$B$36+$A171*Costeo!$C$36+0*Costeo!$D$36+0*Costeo!$E$36)&gt;5000,32-Costeo!$B$61,0))*Costeo!$B$51,2))))&gt;=0),$A171,1000000000)</f>
        <v>1000000000</v>
      </c>
      <c r="D171" s="121">
        <f>IF(AND($A171*Costeo!$D$36&lt;=10000,(($A171)*$D$11-$B$4-((ROUND((MAX(0,(0*Costeo!$B$117+0*Costeo!$C$117+$A171*Costeo!$D$117+0*Costeo!$E$117)-100)*Costeo!$B$53+MAX(0,(0*Costeo!$B$118+0*Costeo!$C$118+$A171*Costeo!$D$118+0*Costeo!$E$118)-250)*Costeo!$B$52+(MAX(0,ROUNDUP(((0*Costeo!$B$116+0*Costeo!$C$116)+($A171*Costeo!$D$116+0*Costeo!$E$116)*0.05)*2,0)-8)+(0*Costeo!$B$131+0*Costeo!$C$131+$A171*Costeo!$D$131+0*Costeo!$E$131))*Costeo!$B$54+IF((0*Costeo!$B$36+0*Costeo!$C$36)&lt;=2000,10,IF((0*Costeo!$B$36+0*Costeo!$C$36)&lt;=5000,15,IF((0*Costeo!$B$36+0*Costeo!$C$36)&lt;=10000,60,110)))-10)*Costeo!$B$51,2))+(ROUND((MAX(0,(0*Costeo!$B$130+0*Costeo!$C$130+$A171*Costeo!$D$130+0*Costeo!$E$130)+20*2*2*Costeo!$B$69+30*(1/3600*Costeo!$B$55+5/3600*Costeo!$B$56)-Costeo!$B$58)+IF(AND((0*Costeo!$B$120+0*Costeo!$C$120+$A171*Costeo!$D$120+0*Costeo!$E$120)&lt;=1000000,(0*Costeo!$B$119+0*Costeo!$C$119+$A171*Costeo!$D$119+0*Costeo!$E$119)&lt;=1000),0,IF((0*Costeo!$B$120+0*Costeo!$C$120+$A171*Costeo!$D$120+0*Costeo!$E$120)&lt;=10000000,20,IF((0*Costeo!$B$120+0*Costeo!$C$120+$A171*Costeo!$D$120+0*Costeo!$E$120)&lt;=50000000,100,300)))+MAX(0,ROUNDUP((0*Costeo!$B$36+0*Costeo!$C$36+$A171*Costeo!$D$36+0*Costeo!$E$36)/5000,0)-1)*Costeo!$B$62+IF((0*Costeo!$B$36+0*Costeo!$C$36+$A171*Costeo!$D$36+0*Costeo!$E$36)&gt;5000,32-Costeo!$B$61,0))*Costeo!$B$51,2))))&gt;=0),$A171,1000000000)</f>
        <v>1000000000</v>
      </c>
      <c r="E171" s="121">
        <f>IF(AND($A171*Costeo!$E$36&lt;=10000,(($A171)*$D$12-$B$4-((ROUND((MAX(0,(0*Costeo!$B$117+0*Costeo!$C$117+0*Costeo!$D$117+$A171*Costeo!$E$117)-100)*Costeo!$B$53+MAX(0,(0*Costeo!$B$118+0*Costeo!$C$118+0*Costeo!$D$118+$A171*Costeo!$E$118)-250)*Costeo!$B$52+(MAX(0,ROUNDUP(((0*Costeo!$B$116+0*Costeo!$C$116)+(0*Costeo!$D$116+$A171*Costeo!$E$116)*0.05)*2,0)-8)+(0*Costeo!$B$131+0*Costeo!$C$131+0*Costeo!$D$131+$A171*Costeo!$E$131))*Costeo!$B$54+IF((0*Costeo!$B$36+0*Costeo!$C$36)&lt;=2000,10,IF((0*Costeo!$B$36+0*Costeo!$C$36)&lt;=5000,15,IF((0*Costeo!$B$36+0*Costeo!$C$36)&lt;=10000,60,110)))-10)*Costeo!$B$51,2))+(ROUND((MAX(0,(0*Costeo!$B$130+0*Costeo!$C$130+0*Costeo!$D$130+$A171*Costeo!$E$130)+20*2*2*Costeo!$B$69+30*(1/3600*Costeo!$B$55+5/3600*Costeo!$B$56)-Costeo!$B$58)+IF(AND((0*Costeo!$B$120+0*Costeo!$C$120+0*Costeo!$D$120+$A171*Costeo!$E$120)&lt;=1000000,(0*Costeo!$B$119+0*Costeo!$C$119+0*Costeo!$D$119+$A171*Costeo!$E$119)&lt;=1000),0,IF((0*Costeo!$B$120+0*Costeo!$C$120+0*Costeo!$D$120+$A171*Costeo!$E$120)&lt;=10000000,20,IF((0*Costeo!$B$120+0*Costeo!$C$120+0*Costeo!$D$120+$A171*Costeo!$E$120)&lt;=50000000,100,300)))+MAX(0,ROUNDUP((0*Costeo!$B$36+0*Costeo!$C$36+0*Costeo!$D$36+$A171*Costeo!$E$36)/5000,0)-1)*Costeo!$B$62+IF((0*Costeo!$B$36+0*Costeo!$C$36+0*Costeo!$D$36+$A171*Costeo!$E$36)&gt;5000,32-Costeo!$B$61,0))*Costeo!$B$51,2))))&gt;=0),$A171,1000000000)</f>
        <v>1000000000</v>
      </c>
    </row>
    <row r="172" hidden="1" outlineLevel="1" ht="30" customHeight="1" s="61">
      <c r="A172" s="52" t="n">
        <v>121</v>
      </c>
      <c r="B172" s="121">
        <f>IF(AND($A172*Costeo!$B$36&lt;=10000,(($A172)*$D$9-$B$4-((ROUND((MAX(0,($A172*Costeo!$B$117+0*Costeo!$C$117+0*Costeo!$D$117+0*Costeo!$E$117)-100)*Costeo!$B$53+MAX(0,($A172*Costeo!$B$118+0*Costeo!$C$118+0*Costeo!$D$118+0*Costeo!$E$118)-250)*Costeo!$B$52+(MAX(0,ROUNDUP((($A172*Costeo!$B$116+0*Costeo!$C$116)+(0*Costeo!$D$116+0*Costeo!$E$116)*0.05)*2,0)-8)+($A172*Costeo!$B$131+0*Costeo!$C$131+0*Costeo!$D$131+0*Costeo!$E$131))*Costeo!$B$54+IF(($A172*Costeo!$B$36+0*Costeo!$C$36)&lt;=2000,10,IF(($A172*Costeo!$B$36+0*Costeo!$C$36)&lt;=5000,15,IF(($A172*Costeo!$B$36+0*Costeo!$C$36)&lt;=10000,60,110)))-10)*Costeo!$B$51,2))+(ROUND((MAX(0,($A172*Costeo!$B$130+0*Costeo!$C$130+0*Costeo!$D$130+0*Costeo!$E$130)+20*2*2*Costeo!$B$69+30*(1/3600*Costeo!$B$55+5/3600*Costeo!$B$56)-Costeo!$B$58)+IF(AND(($A172*Costeo!$B$120+0*Costeo!$C$120+0*Costeo!$D$120+0*Costeo!$E$120)&lt;=1000000,($A172*Costeo!$B$119+0*Costeo!$C$119+0*Costeo!$D$119+0*Costeo!$E$119)&lt;=1000),0,IF(($A172*Costeo!$B$120+0*Costeo!$C$120+0*Costeo!$D$120+0*Costeo!$E$120)&lt;=10000000,20,IF(($A172*Costeo!$B$120+0*Costeo!$C$120+0*Costeo!$D$120+0*Costeo!$E$120)&lt;=50000000,100,300)))+MAX(0,ROUNDUP(($A172*Costeo!$B$36+0*Costeo!$C$36+0*Costeo!$D$36+0*Costeo!$E$36)/5000,0)-1)*Costeo!$B$62+IF(($A172*Costeo!$B$36+0*Costeo!$C$36+0*Costeo!$D$36+0*Costeo!$E$36)&gt;5000,32-Costeo!$B$61,0))*Costeo!$B$51,2))))&gt;=0),$A172,1000000000)</f>
        <v>121</v>
      </c>
      <c r="C172" s="121">
        <f>IF(AND($A172*Costeo!$C$36&lt;=10000,(($A172)*$D$10-$B$4-((ROUND((MAX(0,(0*Costeo!$B$117+$A172*Costeo!$C$117+0*Costeo!$D$117+0*Costeo!$E$117)-100)*Costeo!$B$53+MAX(0,(0*Costeo!$B$118+$A172*Costeo!$C$118+0*Costeo!$D$118+0*Costeo!$E$118)-250)*Costeo!$B$52+(MAX(0,ROUNDUP(((0*Costeo!$B$116+$A172*Costeo!$C$116)+(0*Costeo!$D$116+0*Costeo!$E$116)*0.05)*2,0)-8)+(0*Costeo!$B$131+$A172*Costeo!$C$131+0*Costeo!$D$131+0*Costeo!$E$131))*Costeo!$B$54+IF((0*Costeo!$B$36+$A172*Costeo!$C$36)&lt;=2000,10,IF((0*Costeo!$B$36+$A172*Costeo!$C$36)&lt;=5000,15,IF((0*Costeo!$B$36+$A172*Costeo!$C$36)&lt;=10000,60,110)))-10)*Costeo!$B$51,2))+(ROUND((MAX(0,(0*Costeo!$B$130+$A172*Costeo!$C$130+0*Costeo!$D$130+0*Costeo!$E$130)+20*2*2*Costeo!$B$69+30*(1/3600*Costeo!$B$55+5/3600*Costeo!$B$56)-Costeo!$B$58)+IF(AND((0*Costeo!$B$120+$A172*Costeo!$C$120+0*Costeo!$D$120+0*Costeo!$E$120)&lt;=1000000,(0*Costeo!$B$119+$A172*Costeo!$C$119+0*Costeo!$D$119+0*Costeo!$E$119)&lt;=1000),0,IF((0*Costeo!$B$120+$A172*Costeo!$C$120+0*Costeo!$D$120+0*Costeo!$E$120)&lt;=10000000,20,IF((0*Costeo!$B$120+$A172*Costeo!$C$120+0*Costeo!$D$120+0*Costeo!$E$120)&lt;=50000000,100,300)))+MAX(0,ROUNDUP((0*Costeo!$B$36+$A172*Costeo!$C$36+0*Costeo!$D$36+0*Costeo!$E$36)/5000,0)-1)*Costeo!$B$62+IF((0*Costeo!$B$36+$A172*Costeo!$C$36+0*Costeo!$D$36+0*Costeo!$E$36)&gt;5000,32-Costeo!$B$61,0))*Costeo!$B$51,2))))&gt;=0),$A172,1000000000)</f>
        <v>1000000000</v>
      </c>
      <c r="D172" s="121">
        <f>IF(AND($A172*Costeo!$D$36&lt;=10000,(($A172)*$D$11-$B$4-((ROUND((MAX(0,(0*Costeo!$B$117+0*Costeo!$C$117+$A172*Costeo!$D$117+0*Costeo!$E$117)-100)*Costeo!$B$53+MAX(0,(0*Costeo!$B$118+0*Costeo!$C$118+$A172*Costeo!$D$118+0*Costeo!$E$118)-250)*Costeo!$B$52+(MAX(0,ROUNDUP(((0*Costeo!$B$116+0*Costeo!$C$116)+($A172*Costeo!$D$116+0*Costeo!$E$116)*0.05)*2,0)-8)+(0*Costeo!$B$131+0*Costeo!$C$131+$A172*Costeo!$D$131+0*Costeo!$E$131))*Costeo!$B$54+IF((0*Costeo!$B$36+0*Costeo!$C$36)&lt;=2000,10,IF((0*Costeo!$B$36+0*Costeo!$C$36)&lt;=5000,15,IF((0*Costeo!$B$36+0*Costeo!$C$36)&lt;=10000,60,110)))-10)*Costeo!$B$51,2))+(ROUND((MAX(0,(0*Costeo!$B$130+0*Costeo!$C$130+$A172*Costeo!$D$130+0*Costeo!$E$130)+20*2*2*Costeo!$B$69+30*(1/3600*Costeo!$B$55+5/3600*Costeo!$B$56)-Costeo!$B$58)+IF(AND((0*Costeo!$B$120+0*Costeo!$C$120+$A172*Costeo!$D$120+0*Costeo!$E$120)&lt;=1000000,(0*Costeo!$B$119+0*Costeo!$C$119+$A172*Costeo!$D$119+0*Costeo!$E$119)&lt;=1000),0,IF((0*Costeo!$B$120+0*Costeo!$C$120+$A172*Costeo!$D$120+0*Costeo!$E$120)&lt;=10000000,20,IF((0*Costeo!$B$120+0*Costeo!$C$120+$A172*Costeo!$D$120+0*Costeo!$E$120)&lt;=50000000,100,300)))+MAX(0,ROUNDUP((0*Costeo!$B$36+0*Costeo!$C$36+$A172*Costeo!$D$36+0*Costeo!$E$36)/5000,0)-1)*Costeo!$B$62+IF((0*Costeo!$B$36+0*Costeo!$C$36+$A172*Costeo!$D$36+0*Costeo!$E$36)&gt;5000,32-Costeo!$B$61,0))*Costeo!$B$51,2))))&gt;=0),$A172,1000000000)</f>
        <v>1000000000</v>
      </c>
      <c r="E172" s="121">
        <f>IF(AND($A172*Costeo!$E$36&lt;=10000,(($A172)*$D$12-$B$4-((ROUND((MAX(0,(0*Costeo!$B$117+0*Costeo!$C$117+0*Costeo!$D$117+$A172*Costeo!$E$117)-100)*Costeo!$B$53+MAX(0,(0*Costeo!$B$118+0*Costeo!$C$118+0*Costeo!$D$118+$A172*Costeo!$E$118)-250)*Costeo!$B$52+(MAX(0,ROUNDUP(((0*Costeo!$B$116+0*Costeo!$C$116)+(0*Costeo!$D$116+$A172*Costeo!$E$116)*0.05)*2,0)-8)+(0*Costeo!$B$131+0*Costeo!$C$131+0*Costeo!$D$131+$A172*Costeo!$E$131))*Costeo!$B$54+IF((0*Costeo!$B$36+0*Costeo!$C$36)&lt;=2000,10,IF((0*Costeo!$B$36+0*Costeo!$C$36)&lt;=5000,15,IF((0*Costeo!$B$36+0*Costeo!$C$36)&lt;=10000,60,110)))-10)*Costeo!$B$51,2))+(ROUND((MAX(0,(0*Costeo!$B$130+0*Costeo!$C$130+0*Costeo!$D$130+$A172*Costeo!$E$130)+20*2*2*Costeo!$B$69+30*(1/3600*Costeo!$B$55+5/3600*Costeo!$B$56)-Costeo!$B$58)+IF(AND((0*Costeo!$B$120+0*Costeo!$C$120+0*Costeo!$D$120+$A172*Costeo!$E$120)&lt;=1000000,(0*Costeo!$B$119+0*Costeo!$C$119+0*Costeo!$D$119+$A172*Costeo!$E$119)&lt;=1000),0,IF((0*Costeo!$B$120+0*Costeo!$C$120+0*Costeo!$D$120+$A172*Costeo!$E$120)&lt;=10000000,20,IF((0*Costeo!$B$120+0*Costeo!$C$120+0*Costeo!$D$120+$A172*Costeo!$E$120)&lt;=50000000,100,300)))+MAX(0,ROUNDUP((0*Costeo!$B$36+0*Costeo!$C$36+0*Costeo!$D$36+$A172*Costeo!$E$36)/5000,0)-1)*Costeo!$B$62+IF((0*Costeo!$B$36+0*Costeo!$C$36+0*Costeo!$D$36+$A172*Costeo!$E$36)&gt;5000,32-Costeo!$B$61,0))*Costeo!$B$51,2))))&gt;=0),$A172,1000000000)</f>
        <v>1000000000</v>
      </c>
    </row>
    <row r="173" hidden="1" outlineLevel="1" ht="30" customHeight="1" s="61">
      <c r="A173" s="52" t="n">
        <v>122</v>
      </c>
      <c r="B173" s="121">
        <f>IF(AND($A173*Costeo!$B$36&lt;=10000,(($A173)*$D$9-$B$4-((ROUND((MAX(0,($A173*Costeo!$B$117+0*Costeo!$C$117+0*Costeo!$D$117+0*Costeo!$E$117)-100)*Costeo!$B$53+MAX(0,($A173*Costeo!$B$118+0*Costeo!$C$118+0*Costeo!$D$118+0*Costeo!$E$118)-250)*Costeo!$B$52+(MAX(0,ROUNDUP((($A173*Costeo!$B$116+0*Costeo!$C$116)+(0*Costeo!$D$116+0*Costeo!$E$116)*0.05)*2,0)-8)+($A173*Costeo!$B$131+0*Costeo!$C$131+0*Costeo!$D$131+0*Costeo!$E$131))*Costeo!$B$54+IF(($A173*Costeo!$B$36+0*Costeo!$C$36)&lt;=2000,10,IF(($A173*Costeo!$B$36+0*Costeo!$C$36)&lt;=5000,15,IF(($A173*Costeo!$B$36+0*Costeo!$C$36)&lt;=10000,60,110)))-10)*Costeo!$B$51,2))+(ROUND((MAX(0,($A173*Costeo!$B$130+0*Costeo!$C$130+0*Costeo!$D$130+0*Costeo!$E$130)+20*2*2*Costeo!$B$69+30*(1/3600*Costeo!$B$55+5/3600*Costeo!$B$56)-Costeo!$B$58)+IF(AND(($A173*Costeo!$B$120+0*Costeo!$C$120+0*Costeo!$D$120+0*Costeo!$E$120)&lt;=1000000,($A173*Costeo!$B$119+0*Costeo!$C$119+0*Costeo!$D$119+0*Costeo!$E$119)&lt;=1000),0,IF(($A173*Costeo!$B$120+0*Costeo!$C$120+0*Costeo!$D$120+0*Costeo!$E$120)&lt;=10000000,20,IF(($A173*Costeo!$B$120+0*Costeo!$C$120+0*Costeo!$D$120+0*Costeo!$E$120)&lt;=50000000,100,300)))+MAX(0,ROUNDUP(($A173*Costeo!$B$36+0*Costeo!$C$36+0*Costeo!$D$36+0*Costeo!$E$36)/5000,0)-1)*Costeo!$B$62+IF(($A173*Costeo!$B$36+0*Costeo!$C$36+0*Costeo!$D$36+0*Costeo!$E$36)&gt;5000,32-Costeo!$B$61,0))*Costeo!$B$51,2))))&gt;=0),$A173,1000000000)</f>
        <v>122</v>
      </c>
      <c r="C173" s="121">
        <f>IF(AND($A173*Costeo!$C$36&lt;=10000,(($A173)*$D$10-$B$4-((ROUND((MAX(0,(0*Costeo!$B$117+$A173*Costeo!$C$117+0*Costeo!$D$117+0*Costeo!$E$117)-100)*Costeo!$B$53+MAX(0,(0*Costeo!$B$118+$A173*Costeo!$C$118+0*Costeo!$D$118+0*Costeo!$E$118)-250)*Costeo!$B$52+(MAX(0,ROUNDUP(((0*Costeo!$B$116+$A173*Costeo!$C$116)+(0*Costeo!$D$116+0*Costeo!$E$116)*0.05)*2,0)-8)+(0*Costeo!$B$131+$A173*Costeo!$C$131+0*Costeo!$D$131+0*Costeo!$E$131))*Costeo!$B$54+IF((0*Costeo!$B$36+$A173*Costeo!$C$36)&lt;=2000,10,IF((0*Costeo!$B$36+$A173*Costeo!$C$36)&lt;=5000,15,IF((0*Costeo!$B$36+$A173*Costeo!$C$36)&lt;=10000,60,110)))-10)*Costeo!$B$51,2))+(ROUND((MAX(0,(0*Costeo!$B$130+$A173*Costeo!$C$130+0*Costeo!$D$130+0*Costeo!$E$130)+20*2*2*Costeo!$B$69+30*(1/3600*Costeo!$B$55+5/3600*Costeo!$B$56)-Costeo!$B$58)+IF(AND((0*Costeo!$B$120+$A173*Costeo!$C$120+0*Costeo!$D$120+0*Costeo!$E$120)&lt;=1000000,(0*Costeo!$B$119+$A173*Costeo!$C$119+0*Costeo!$D$119+0*Costeo!$E$119)&lt;=1000),0,IF((0*Costeo!$B$120+$A173*Costeo!$C$120+0*Costeo!$D$120+0*Costeo!$E$120)&lt;=10000000,20,IF((0*Costeo!$B$120+$A173*Costeo!$C$120+0*Costeo!$D$120+0*Costeo!$E$120)&lt;=50000000,100,300)))+MAX(0,ROUNDUP((0*Costeo!$B$36+$A173*Costeo!$C$36+0*Costeo!$D$36+0*Costeo!$E$36)/5000,0)-1)*Costeo!$B$62+IF((0*Costeo!$B$36+$A173*Costeo!$C$36+0*Costeo!$D$36+0*Costeo!$E$36)&gt;5000,32-Costeo!$B$61,0))*Costeo!$B$51,2))))&gt;=0),$A173,1000000000)</f>
        <v>1000000000</v>
      </c>
      <c r="D173" s="121">
        <f>IF(AND($A173*Costeo!$D$36&lt;=10000,(($A173)*$D$11-$B$4-((ROUND((MAX(0,(0*Costeo!$B$117+0*Costeo!$C$117+$A173*Costeo!$D$117+0*Costeo!$E$117)-100)*Costeo!$B$53+MAX(0,(0*Costeo!$B$118+0*Costeo!$C$118+$A173*Costeo!$D$118+0*Costeo!$E$118)-250)*Costeo!$B$52+(MAX(0,ROUNDUP(((0*Costeo!$B$116+0*Costeo!$C$116)+($A173*Costeo!$D$116+0*Costeo!$E$116)*0.05)*2,0)-8)+(0*Costeo!$B$131+0*Costeo!$C$131+$A173*Costeo!$D$131+0*Costeo!$E$131))*Costeo!$B$54+IF((0*Costeo!$B$36+0*Costeo!$C$36)&lt;=2000,10,IF((0*Costeo!$B$36+0*Costeo!$C$36)&lt;=5000,15,IF((0*Costeo!$B$36+0*Costeo!$C$36)&lt;=10000,60,110)))-10)*Costeo!$B$51,2))+(ROUND((MAX(0,(0*Costeo!$B$130+0*Costeo!$C$130+$A173*Costeo!$D$130+0*Costeo!$E$130)+20*2*2*Costeo!$B$69+30*(1/3600*Costeo!$B$55+5/3600*Costeo!$B$56)-Costeo!$B$58)+IF(AND((0*Costeo!$B$120+0*Costeo!$C$120+$A173*Costeo!$D$120+0*Costeo!$E$120)&lt;=1000000,(0*Costeo!$B$119+0*Costeo!$C$119+$A173*Costeo!$D$119+0*Costeo!$E$119)&lt;=1000),0,IF((0*Costeo!$B$120+0*Costeo!$C$120+$A173*Costeo!$D$120+0*Costeo!$E$120)&lt;=10000000,20,IF((0*Costeo!$B$120+0*Costeo!$C$120+$A173*Costeo!$D$120+0*Costeo!$E$120)&lt;=50000000,100,300)))+MAX(0,ROUNDUP((0*Costeo!$B$36+0*Costeo!$C$36+$A173*Costeo!$D$36+0*Costeo!$E$36)/5000,0)-1)*Costeo!$B$62+IF((0*Costeo!$B$36+0*Costeo!$C$36+$A173*Costeo!$D$36+0*Costeo!$E$36)&gt;5000,32-Costeo!$B$61,0))*Costeo!$B$51,2))))&gt;=0),$A173,1000000000)</f>
        <v>1000000000</v>
      </c>
      <c r="E173" s="121">
        <f>IF(AND($A173*Costeo!$E$36&lt;=10000,(($A173)*$D$12-$B$4-((ROUND((MAX(0,(0*Costeo!$B$117+0*Costeo!$C$117+0*Costeo!$D$117+$A173*Costeo!$E$117)-100)*Costeo!$B$53+MAX(0,(0*Costeo!$B$118+0*Costeo!$C$118+0*Costeo!$D$118+$A173*Costeo!$E$118)-250)*Costeo!$B$52+(MAX(0,ROUNDUP(((0*Costeo!$B$116+0*Costeo!$C$116)+(0*Costeo!$D$116+$A173*Costeo!$E$116)*0.05)*2,0)-8)+(0*Costeo!$B$131+0*Costeo!$C$131+0*Costeo!$D$131+$A173*Costeo!$E$131))*Costeo!$B$54+IF((0*Costeo!$B$36+0*Costeo!$C$36)&lt;=2000,10,IF((0*Costeo!$B$36+0*Costeo!$C$36)&lt;=5000,15,IF((0*Costeo!$B$36+0*Costeo!$C$36)&lt;=10000,60,110)))-10)*Costeo!$B$51,2))+(ROUND((MAX(0,(0*Costeo!$B$130+0*Costeo!$C$130+0*Costeo!$D$130+$A173*Costeo!$E$130)+20*2*2*Costeo!$B$69+30*(1/3600*Costeo!$B$55+5/3600*Costeo!$B$56)-Costeo!$B$58)+IF(AND((0*Costeo!$B$120+0*Costeo!$C$120+0*Costeo!$D$120+$A173*Costeo!$E$120)&lt;=1000000,(0*Costeo!$B$119+0*Costeo!$C$119+0*Costeo!$D$119+$A173*Costeo!$E$119)&lt;=1000),0,IF((0*Costeo!$B$120+0*Costeo!$C$120+0*Costeo!$D$120+$A173*Costeo!$E$120)&lt;=10000000,20,IF((0*Costeo!$B$120+0*Costeo!$C$120+0*Costeo!$D$120+$A173*Costeo!$E$120)&lt;=50000000,100,300)))+MAX(0,ROUNDUP((0*Costeo!$B$36+0*Costeo!$C$36+0*Costeo!$D$36+$A173*Costeo!$E$36)/5000,0)-1)*Costeo!$B$62+IF((0*Costeo!$B$36+0*Costeo!$C$36+0*Costeo!$D$36+$A173*Costeo!$E$36)&gt;5000,32-Costeo!$B$61,0))*Costeo!$B$51,2))))&gt;=0),$A173,1000000000)</f>
        <v>1000000000</v>
      </c>
    </row>
    <row r="174" hidden="1" outlineLevel="1" ht="30" customHeight="1" s="61">
      <c r="A174" s="52" t="n">
        <v>123</v>
      </c>
      <c r="B174" s="121">
        <f>IF(AND($A174*Costeo!$B$36&lt;=10000,(($A174)*$D$9-$B$4-((ROUND((MAX(0,($A174*Costeo!$B$117+0*Costeo!$C$117+0*Costeo!$D$117+0*Costeo!$E$117)-100)*Costeo!$B$53+MAX(0,($A174*Costeo!$B$118+0*Costeo!$C$118+0*Costeo!$D$118+0*Costeo!$E$118)-250)*Costeo!$B$52+(MAX(0,ROUNDUP((($A174*Costeo!$B$116+0*Costeo!$C$116)+(0*Costeo!$D$116+0*Costeo!$E$116)*0.05)*2,0)-8)+($A174*Costeo!$B$131+0*Costeo!$C$131+0*Costeo!$D$131+0*Costeo!$E$131))*Costeo!$B$54+IF(($A174*Costeo!$B$36+0*Costeo!$C$36)&lt;=2000,10,IF(($A174*Costeo!$B$36+0*Costeo!$C$36)&lt;=5000,15,IF(($A174*Costeo!$B$36+0*Costeo!$C$36)&lt;=10000,60,110)))-10)*Costeo!$B$51,2))+(ROUND((MAX(0,($A174*Costeo!$B$130+0*Costeo!$C$130+0*Costeo!$D$130+0*Costeo!$E$130)+20*2*2*Costeo!$B$69+30*(1/3600*Costeo!$B$55+5/3600*Costeo!$B$56)-Costeo!$B$58)+IF(AND(($A174*Costeo!$B$120+0*Costeo!$C$120+0*Costeo!$D$120+0*Costeo!$E$120)&lt;=1000000,($A174*Costeo!$B$119+0*Costeo!$C$119+0*Costeo!$D$119+0*Costeo!$E$119)&lt;=1000),0,IF(($A174*Costeo!$B$120+0*Costeo!$C$120+0*Costeo!$D$120+0*Costeo!$E$120)&lt;=10000000,20,IF(($A174*Costeo!$B$120+0*Costeo!$C$120+0*Costeo!$D$120+0*Costeo!$E$120)&lt;=50000000,100,300)))+MAX(0,ROUNDUP(($A174*Costeo!$B$36+0*Costeo!$C$36+0*Costeo!$D$36+0*Costeo!$E$36)/5000,0)-1)*Costeo!$B$62+IF(($A174*Costeo!$B$36+0*Costeo!$C$36+0*Costeo!$D$36+0*Costeo!$E$36)&gt;5000,32-Costeo!$B$61,0))*Costeo!$B$51,2))))&gt;=0),$A174,1000000000)</f>
        <v>123</v>
      </c>
      <c r="C174" s="121">
        <f>IF(AND($A174*Costeo!$C$36&lt;=10000,(($A174)*$D$10-$B$4-((ROUND((MAX(0,(0*Costeo!$B$117+$A174*Costeo!$C$117+0*Costeo!$D$117+0*Costeo!$E$117)-100)*Costeo!$B$53+MAX(0,(0*Costeo!$B$118+$A174*Costeo!$C$118+0*Costeo!$D$118+0*Costeo!$E$118)-250)*Costeo!$B$52+(MAX(0,ROUNDUP(((0*Costeo!$B$116+$A174*Costeo!$C$116)+(0*Costeo!$D$116+0*Costeo!$E$116)*0.05)*2,0)-8)+(0*Costeo!$B$131+$A174*Costeo!$C$131+0*Costeo!$D$131+0*Costeo!$E$131))*Costeo!$B$54+IF((0*Costeo!$B$36+$A174*Costeo!$C$36)&lt;=2000,10,IF((0*Costeo!$B$36+$A174*Costeo!$C$36)&lt;=5000,15,IF((0*Costeo!$B$36+$A174*Costeo!$C$36)&lt;=10000,60,110)))-10)*Costeo!$B$51,2))+(ROUND((MAX(0,(0*Costeo!$B$130+$A174*Costeo!$C$130+0*Costeo!$D$130+0*Costeo!$E$130)+20*2*2*Costeo!$B$69+30*(1/3600*Costeo!$B$55+5/3600*Costeo!$B$56)-Costeo!$B$58)+IF(AND((0*Costeo!$B$120+$A174*Costeo!$C$120+0*Costeo!$D$120+0*Costeo!$E$120)&lt;=1000000,(0*Costeo!$B$119+$A174*Costeo!$C$119+0*Costeo!$D$119+0*Costeo!$E$119)&lt;=1000),0,IF((0*Costeo!$B$120+$A174*Costeo!$C$120+0*Costeo!$D$120+0*Costeo!$E$120)&lt;=10000000,20,IF((0*Costeo!$B$120+$A174*Costeo!$C$120+0*Costeo!$D$120+0*Costeo!$E$120)&lt;=50000000,100,300)))+MAX(0,ROUNDUP((0*Costeo!$B$36+$A174*Costeo!$C$36+0*Costeo!$D$36+0*Costeo!$E$36)/5000,0)-1)*Costeo!$B$62+IF((0*Costeo!$B$36+$A174*Costeo!$C$36+0*Costeo!$D$36+0*Costeo!$E$36)&gt;5000,32-Costeo!$B$61,0))*Costeo!$B$51,2))))&gt;=0),$A174,1000000000)</f>
        <v>1000000000</v>
      </c>
      <c r="D174" s="121">
        <f>IF(AND($A174*Costeo!$D$36&lt;=10000,(($A174)*$D$11-$B$4-((ROUND((MAX(0,(0*Costeo!$B$117+0*Costeo!$C$117+$A174*Costeo!$D$117+0*Costeo!$E$117)-100)*Costeo!$B$53+MAX(0,(0*Costeo!$B$118+0*Costeo!$C$118+$A174*Costeo!$D$118+0*Costeo!$E$118)-250)*Costeo!$B$52+(MAX(0,ROUNDUP(((0*Costeo!$B$116+0*Costeo!$C$116)+($A174*Costeo!$D$116+0*Costeo!$E$116)*0.05)*2,0)-8)+(0*Costeo!$B$131+0*Costeo!$C$131+$A174*Costeo!$D$131+0*Costeo!$E$131))*Costeo!$B$54+IF((0*Costeo!$B$36+0*Costeo!$C$36)&lt;=2000,10,IF((0*Costeo!$B$36+0*Costeo!$C$36)&lt;=5000,15,IF((0*Costeo!$B$36+0*Costeo!$C$36)&lt;=10000,60,110)))-10)*Costeo!$B$51,2))+(ROUND((MAX(0,(0*Costeo!$B$130+0*Costeo!$C$130+$A174*Costeo!$D$130+0*Costeo!$E$130)+20*2*2*Costeo!$B$69+30*(1/3600*Costeo!$B$55+5/3600*Costeo!$B$56)-Costeo!$B$58)+IF(AND((0*Costeo!$B$120+0*Costeo!$C$120+$A174*Costeo!$D$120+0*Costeo!$E$120)&lt;=1000000,(0*Costeo!$B$119+0*Costeo!$C$119+$A174*Costeo!$D$119+0*Costeo!$E$119)&lt;=1000),0,IF((0*Costeo!$B$120+0*Costeo!$C$120+$A174*Costeo!$D$120+0*Costeo!$E$120)&lt;=10000000,20,IF((0*Costeo!$B$120+0*Costeo!$C$120+$A174*Costeo!$D$120+0*Costeo!$E$120)&lt;=50000000,100,300)))+MAX(0,ROUNDUP((0*Costeo!$B$36+0*Costeo!$C$36+$A174*Costeo!$D$36+0*Costeo!$E$36)/5000,0)-1)*Costeo!$B$62+IF((0*Costeo!$B$36+0*Costeo!$C$36+$A174*Costeo!$D$36+0*Costeo!$E$36)&gt;5000,32-Costeo!$B$61,0))*Costeo!$B$51,2))))&gt;=0),$A174,1000000000)</f>
        <v>1000000000</v>
      </c>
      <c r="E174" s="121">
        <f>IF(AND($A174*Costeo!$E$36&lt;=10000,(($A174)*$D$12-$B$4-((ROUND((MAX(0,(0*Costeo!$B$117+0*Costeo!$C$117+0*Costeo!$D$117+$A174*Costeo!$E$117)-100)*Costeo!$B$53+MAX(0,(0*Costeo!$B$118+0*Costeo!$C$118+0*Costeo!$D$118+$A174*Costeo!$E$118)-250)*Costeo!$B$52+(MAX(0,ROUNDUP(((0*Costeo!$B$116+0*Costeo!$C$116)+(0*Costeo!$D$116+$A174*Costeo!$E$116)*0.05)*2,0)-8)+(0*Costeo!$B$131+0*Costeo!$C$131+0*Costeo!$D$131+$A174*Costeo!$E$131))*Costeo!$B$54+IF((0*Costeo!$B$36+0*Costeo!$C$36)&lt;=2000,10,IF((0*Costeo!$B$36+0*Costeo!$C$36)&lt;=5000,15,IF((0*Costeo!$B$36+0*Costeo!$C$36)&lt;=10000,60,110)))-10)*Costeo!$B$51,2))+(ROUND((MAX(0,(0*Costeo!$B$130+0*Costeo!$C$130+0*Costeo!$D$130+$A174*Costeo!$E$130)+20*2*2*Costeo!$B$69+30*(1/3600*Costeo!$B$55+5/3600*Costeo!$B$56)-Costeo!$B$58)+IF(AND((0*Costeo!$B$120+0*Costeo!$C$120+0*Costeo!$D$120+$A174*Costeo!$E$120)&lt;=1000000,(0*Costeo!$B$119+0*Costeo!$C$119+0*Costeo!$D$119+$A174*Costeo!$E$119)&lt;=1000),0,IF((0*Costeo!$B$120+0*Costeo!$C$120+0*Costeo!$D$120+$A174*Costeo!$E$120)&lt;=10000000,20,IF((0*Costeo!$B$120+0*Costeo!$C$120+0*Costeo!$D$120+$A174*Costeo!$E$120)&lt;=50000000,100,300)))+MAX(0,ROUNDUP((0*Costeo!$B$36+0*Costeo!$C$36+0*Costeo!$D$36+$A174*Costeo!$E$36)/5000,0)-1)*Costeo!$B$62+IF((0*Costeo!$B$36+0*Costeo!$C$36+0*Costeo!$D$36+$A174*Costeo!$E$36)&gt;5000,32-Costeo!$B$61,0))*Costeo!$B$51,2))))&gt;=0),$A174,1000000000)</f>
        <v>1000000000</v>
      </c>
    </row>
    <row r="175" hidden="1" outlineLevel="1" ht="30" customHeight="1" s="61">
      <c r="A175" s="52" t="n">
        <v>124</v>
      </c>
      <c r="B175" s="121">
        <f>IF(AND($A175*Costeo!$B$36&lt;=10000,(($A175)*$D$9-$B$4-((ROUND((MAX(0,($A175*Costeo!$B$117+0*Costeo!$C$117+0*Costeo!$D$117+0*Costeo!$E$117)-100)*Costeo!$B$53+MAX(0,($A175*Costeo!$B$118+0*Costeo!$C$118+0*Costeo!$D$118+0*Costeo!$E$118)-250)*Costeo!$B$52+(MAX(0,ROUNDUP((($A175*Costeo!$B$116+0*Costeo!$C$116)+(0*Costeo!$D$116+0*Costeo!$E$116)*0.05)*2,0)-8)+($A175*Costeo!$B$131+0*Costeo!$C$131+0*Costeo!$D$131+0*Costeo!$E$131))*Costeo!$B$54+IF(($A175*Costeo!$B$36+0*Costeo!$C$36)&lt;=2000,10,IF(($A175*Costeo!$B$36+0*Costeo!$C$36)&lt;=5000,15,IF(($A175*Costeo!$B$36+0*Costeo!$C$36)&lt;=10000,60,110)))-10)*Costeo!$B$51,2))+(ROUND((MAX(0,($A175*Costeo!$B$130+0*Costeo!$C$130+0*Costeo!$D$130+0*Costeo!$E$130)+20*2*2*Costeo!$B$69+30*(1/3600*Costeo!$B$55+5/3600*Costeo!$B$56)-Costeo!$B$58)+IF(AND(($A175*Costeo!$B$120+0*Costeo!$C$120+0*Costeo!$D$120+0*Costeo!$E$120)&lt;=1000000,($A175*Costeo!$B$119+0*Costeo!$C$119+0*Costeo!$D$119+0*Costeo!$E$119)&lt;=1000),0,IF(($A175*Costeo!$B$120+0*Costeo!$C$120+0*Costeo!$D$120+0*Costeo!$E$120)&lt;=10000000,20,IF(($A175*Costeo!$B$120+0*Costeo!$C$120+0*Costeo!$D$120+0*Costeo!$E$120)&lt;=50000000,100,300)))+MAX(0,ROUNDUP(($A175*Costeo!$B$36+0*Costeo!$C$36+0*Costeo!$D$36+0*Costeo!$E$36)/5000,0)-1)*Costeo!$B$62+IF(($A175*Costeo!$B$36+0*Costeo!$C$36+0*Costeo!$D$36+0*Costeo!$E$36)&gt;5000,32-Costeo!$B$61,0))*Costeo!$B$51,2))))&gt;=0),$A175,1000000000)</f>
        <v>124</v>
      </c>
      <c r="C175" s="121">
        <f>IF(AND($A175*Costeo!$C$36&lt;=10000,(($A175)*$D$10-$B$4-((ROUND((MAX(0,(0*Costeo!$B$117+$A175*Costeo!$C$117+0*Costeo!$D$117+0*Costeo!$E$117)-100)*Costeo!$B$53+MAX(0,(0*Costeo!$B$118+$A175*Costeo!$C$118+0*Costeo!$D$118+0*Costeo!$E$118)-250)*Costeo!$B$52+(MAX(0,ROUNDUP(((0*Costeo!$B$116+$A175*Costeo!$C$116)+(0*Costeo!$D$116+0*Costeo!$E$116)*0.05)*2,0)-8)+(0*Costeo!$B$131+$A175*Costeo!$C$131+0*Costeo!$D$131+0*Costeo!$E$131))*Costeo!$B$54+IF((0*Costeo!$B$36+$A175*Costeo!$C$36)&lt;=2000,10,IF((0*Costeo!$B$36+$A175*Costeo!$C$36)&lt;=5000,15,IF((0*Costeo!$B$36+$A175*Costeo!$C$36)&lt;=10000,60,110)))-10)*Costeo!$B$51,2))+(ROUND((MAX(0,(0*Costeo!$B$130+$A175*Costeo!$C$130+0*Costeo!$D$130+0*Costeo!$E$130)+20*2*2*Costeo!$B$69+30*(1/3600*Costeo!$B$55+5/3600*Costeo!$B$56)-Costeo!$B$58)+IF(AND((0*Costeo!$B$120+$A175*Costeo!$C$120+0*Costeo!$D$120+0*Costeo!$E$120)&lt;=1000000,(0*Costeo!$B$119+$A175*Costeo!$C$119+0*Costeo!$D$119+0*Costeo!$E$119)&lt;=1000),0,IF((0*Costeo!$B$120+$A175*Costeo!$C$120+0*Costeo!$D$120+0*Costeo!$E$120)&lt;=10000000,20,IF((0*Costeo!$B$120+$A175*Costeo!$C$120+0*Costeo!$D$120+0*Costeo!$E$120)&lt;=50000000,100,300)))+MAX(0,ROUNDUP((0*Costeo!$B$36+$A175*Costeo!$C$36+0*Costeo!$D$36+0*Costeo!$E$36)/5000,0)-1)*Costeo!$B$62+IF((0*Costeo!$B$36+$A175*Costeo!$C$36+0*Costeo!$D$36+0*Costeo!$E$36)&gt;5000,32-Costeo!$B$61,0))*Costeo!$B$51,2))))&gt;=0),$A175,1000000000)</f>
        <v>1000000000</v>
      </c>
      <c r="D175" s="121">
        <f>IF(AND($A175*Costeo!$D$36&lt;=10000,(($A175)*$D$11-$B$4-((ROUND((MAX(0,(0*Costeo!$B$117+0*Costeo!$C$117+$A175*Costeo!$D$117+0*Costeo!$E$117)-100)*Costeo!$B$53+MAX(0,(0*Costeo!$B$118+0*Costeo!$C$118+$A175*Costeo!$D$118+0*Costeo!$E$118)-250)*Costeo!$B$52+(MAX(0,ROUNDUP(((0*Costeo!$B$116+0*Costeo!$C$116)+($A175*Costeo!$D$116+0*Costeo!$E$116)*0.05)*2,0)-8)+(0*Costeo!$B$131+0*Costeo!$C$131+$A175*Costeo!$D$131+0*Costeo!$E$131))*Costeo!$B$54+IF((0*Costeo!$B$36+0*Costeo!$C$36)&lt;=2000,10,IF((0*Costeo!$B$36+0*Costeo!$C$36)&lt;=5000,15,IF((0*Costeo!$B$36+0*Costeo!$C$36)&lt;=10000,60,110)))-10)*Costeo!$B$51,2))+(ROUND((MAX(0,(0*Costeo!$B$130+0*Costeo!$C$130+$A175*Costeo!$D$130+0*Costeo!$E$130)+20*2*2*Costeo!$B$69+30*(1/3600*Costeo!$B$55+5/3600*Costeo!$B$56)-Costeo!$B$58)+IF(AND((0*Costeo!$B$120+0*Costeo!$C$120+$A175*Costeo!$D$120+0*Costeo!$E$120)&lt;=1000000,(0*Costeo!$B$119+0*Costeo!$C$119+$A175*Costeo!$D$119+0*Costeo!$E$119)&lt;=1000),0,IF((0*Costeo!$B$120+0*Costeo!$C$120+$A175*Costeo!$D$120+0*Costeo!$E$120)&lt;=10000000,20,IF((0*Costeo!$B$120+0*Costeo!$C$120+$A175*Costeo!$D$120+0*Costeo!$E$120)&lt;=50000000,100,300)))+MAX(0,ROUNDUP((0*Costeo!$B$36+0*Costeo!$C$36+$A175*Costeo!$D$36+0*Costeo!$E$36)/5000,0)-1)*Costeo!$B$62+IF((0*Costeo!$B$36+0*Costeo!$C$36+$A175*Costeo!$D$36+0*Costeo!$E$36)&gt;5000,32-Costeo!$B$61,0))*Costeo!$B$51,2))))&gt;=0),$A175,1000000000)</f>
        <v>1000000000</v>
      </c>
      <c r="E175" s="121">
        <f>IF(AND($A175*Costeo!$E$36&lt;=10000,(($A175)*$D$12-$B$4-((ROUND((MAX(0,(0*Costeo!$B$117+0*Costeo!$C$117+0*Costeo!$D$117+$A175*Costeo!$E$117)-100)*Costeo!$B$53+MAX(0,(0*Costeo!$B$118+0*Costeo!$C$118+0*Costeo!$D$118+$A175*Costeo!$E$118)-250)*Costeo!$B$52+(MAX(0,ROUNDUP(((0*Costeo!$B$116+0*Costeo!$C$116)+(0*Costeo!$D$116+$A175*Costeo!$E$116)*0.05)*2,0)-8)+(0*Costeo!$B$131+0*Costeo!$C$131+0*Costeo!$D$131+$A175*Costeo!$E$131))*Costeo!$B$54+IF((0*Costeo!$B$36+0*Costeo!$C$36)&lt;=2000,10,IF((0*Costeo!$B$36+0*Costeo!$C$36)&lt;=5000,15,IF((0*Costeo!$B$36+0*Costeo!$C$36)&lt;=10000,60,110)))-10)*Costeo!$B$51,2))+(ROUND((MAX(0,(0*Costeo!$B$130+0*Costeo!$C$130+0*Costeo!$D$130+$A175*Costeo!$E$130)+20*2*2*Costeo!$B$69+30*(1/3600*Costeo!$B$55+5/3600*Costeo!$B$56)-Costeo!$B$58)+IF(AND((0*Costeo!$B$120+0*Costeo!$C$120+0*Costeo!$D$120+$A175*Costeo!$E$120)&lt;=1000000,(0*Costeo!$B$119+0*Costeo!$C$119+0*Costeo!$D$119+$A175*Costeo!$E$119)&lt;=1000),0,IF((0*Costeo!$B$120+0*Costeo!$C$120+0*Costeo!$D$120+$A175*Costeo!$E$120)&lt;=10000000,20,IF((0*Costeo!$B$120+0*Costeo!$C$120+0*Costeo!$D$120+$A175*Costeo!$E$120)&lt;=50000000,100,300)))+MAX(0,ROUNDUP((0*Costeo!$B$36+0*Costeo!$C$36+0*Costeo!$D$36+$A175*Costeo!$E$36)/5000,0)-1)*Costeo!$B$62+IF((0*Costeo!$B$36+0*Costeo!$C$36+0*Costeo!$D$36+$A175*Costeo!$E$36)&gt;5000,32-Costeo!$B$61,0))*Costeo!$B$51,2))))&gt;=0),$A175,1000000000)</f>
        <v>1000000000</v>
      </c>
    </row>
    <row r="176" hidden="1" outlineLevel="1" ht="30" customHeight="1" s="61">
      <c r="A176" s="52" t="n">
        <v>125</v>
      </c>
      <c r="B176" s="121">
        <f>IF(AND($A176*Costeo!$B$36&lt;=10000,(($A176)*$D$9-$B$4-((ROUND((MAX(0,($A176*Costeo!$B$117+0*Costeo!$C$117+0*Costeo!$D$117+0*Costeo!$E$117)-100)*Costeo!$B$53+MAX(0,($A176*Costeo!$B$118+0*Costeo!$C$118+0*Costeo!$D$118+0*Costeo!$E$118)-250)*Costeo!$B$52+(MAX(0,ROUNDUP((($A176*Costeo!$B$116+0*Costeo!$C$116)+(0*Costeo!$D$116+0*Costeo!$E$116)*0.05)*2,0)-8)+($A176*Costeo!$B$131+0*Costeo!$C$131+0*Costeo!$D$131+0*Costeo!$E$131))*Costeo!$B$54+IF(($A176*Costeo!$B$36+0*Costeo!$C$36)&lt;=2000,10,IF(($A176*Costeo!$B$36+0*Costeo!$C$36)&lt;=5000,15,IF(($A176*Costeo!$B$36+0*Costeo!$C$36)&lt;=10000,60,110)))-10)*Costeo!$B$51,2))+(ROUND((MAX(0,($A176*Costeo!$B$130+0*Costeo!$C$130+0*Costeo!$D$130+0*Costeo!$E$130)+20*2*2*Costeo!$B$69+30*(1/3600*Costeo!$B$55+5/3600*Costeo!$B$56)-Costeo!$B$58)+IF(AND(($A176*Costeo!$B$120+0*Costeo!$C$120+0*Costeo!$D$120+0*Costeo!$E$120)&lt;=1000000,($A176*Costeo!$B$119+0*Costeo!$C$119+0*Costeo!$D$119+0*Costeo!$E$119)&lt;=1000),0,IF(($A176*Costeo!$B$120+0*Costeo!$C$120+0*Costeo!$D$120+0*Costeo!$E$120)&lt;=10000000,20,IF(($A176*Costeo!$B$120+0*Costeo!$C$120+0*Costeo!$D$120+0*Costeo!$E$120)&lt;=50000000,100,300)))+MAX(0,ROUNDUP(($A176*Costeo!$B$36+0*Costeo!$C$36+0*Costeo!$D$36+0*Costeo!$E$36)/5000,0)-1)*Costeo!$B$62+IF(($A176*Costeo!$B$36+0*Costeo!$C$36+0*Costeo!$D$36+0*Costeo!$E$36)&gt;5000,32-Costeo!$B$61,0))*Costeo!$B$51,2))))&gt;=0),$A176,1000000000)</f>
        <v>125</v>
      </c>
      <c r="C176" s="121">
        <f>IF(AND($A176*Costeo!$C$36&lt;=10000,(($A176)*$D$10-$B$4-((ROUND((MAX(0,(0*Costeo!$B$117+$A176*Costeo!$C$117+0*Costeo!$D$117+0*Costeo!$E$117)-100)*Costeo!$B$53+MAX(0,(0*Costeo!$B$118+$A176*Costeo!$C$118+0*Costeo!$D$118+0*Costeo!$E$118)-250)*Costeo!$B$52+(MAX(0,ROUNDUP(((0*Costeo!$B$116+$A176*Costeo!$C$116)+(0*Costeo!$D$116+0*Costeo!$E$116)*0.05)*2,0)-8)+(0*Costeo!$B$131+$A176*Costeo!$C$131+0*Costeo!$D$131+0*Costeo!$E$131))*Costeo!$B$54+IF((0*Costeo!$B$36+$A176*Costeo!$C$36)&lt;=2000,10,IF((0*Costeo!$B$36+$A176*Costeo!$C$36)&lt;=5000,15,IF((0*Costeo!$B$36+$A176*Costeo!$C$36)&lt;=10000,60,110)))-10)*Costeo!$B$51,2))+(ROUND((MAX(0,(0*Costeo!$B$130+$A176*Costeo!$C$130+0*Costeo!$D$130+0*Costeo!$E$130)+20*2*2*Costeo!$B$69+30*(1/3600*Costeo!$B$55+5/3600*Costeo!$B$56)-Costeo!$B$58)+IF(AND((0*Costeo!$B$120+$A176*Costeo!$C$120+0*Costeo!$D$120+0*Costeo!$E$120)&lt;=1000000,(0*Costeo!$B$119+$A176*Costeo!$C$119+0*Costeo!$D$119+0*Costeo!$E$119)&lt;=1000),0,IF((0*Costeo!$B$120+$A176*Costeo!$C$120+0*Costeo!$D$120+0*Costeo!$E$120)&lt;=10000000,20,IF((0*Costeo!$B$120+$A176*Costeo!$C$120+0*Costeo!$D$120+0*Costeo!$E$120)&lt;=50000000,100,300)))+MAX(0,ROUNDUP((0*Costeo!$B$36+$A176*Costeo!$C$36+0*Costeo!$D$36+0*Costeo!$E$36)/5000,0)-1)*Costeo!$B$62+IF((0*Costeo!$B$36+$A176*Costeo!$C$36+0*Costeo!$D$36+0*Costeo!$E$36)&gt;5000,32-Costeo!$B$61,0))*Costeo!$B$51,2))))&gt;=0),$A176,1000000000)</f>
        <v>1000000000</v>
      </c>
      <c r="D176" s="121">
        <f>IF(AND($A176*Costeo!$D$36&lt;=10000,(($A176)*$D$11-$B$4-((ROUND((MAX(0,(0*Costeo!$B$117+0*Costeo!$C$117+$A176*Costeo!$D$117+0*Costeo!$E$117)-100)*Costeo!$B$53+MAX(0,(0*Costeo!$B$118+0*Costeo!$C$118+$A176*Costeo!$D$118+0*Costeo!$E$118)-250)*Costeo!$B$52+(MAX(0,ROUNDUP(((0*Costeo!$B$116+0*Costeo!$C$116)+($A176*Costeo!$D$116+0*Costeo!$E$116)*0.05)*2,0)-8)+(0*Costeo!$B$131+0*Costeo!$C$131+$A176*Costeo!$D$131+0*Costeo!$E$131))*Costeo!$B$54+IF((0*Costeo!$B$36+0*Costeo!$C$36)&lt;=2000,10,IF((0*Costeo!$B$36+0*Costeo!$C$36)&lt;=5000,15,IF((0*Costeo!$B$36+0*Costeo!$C$36)&lt;=10000,60,110)))-10)*Costeo!$B$51,2))+(ROUND((MAX(0,(0*Costeo!$B$130+0*Costeo!$C$130+$A176*Costeo!$D$130+0*Costeo!$E$130)+20*2*2*Costeo!$B$69+30*(1/3600*Costeo!$B$55+5/3600*Costeo!$B$56)-Costeo!$B$58)+IF(AND((0*Costeo!$B$120+0*Costeo!$C$120+$A176*Costeo!$D$120+0*Costeo!$E$120)&lt;=1000000,(0*Costeo!$B$119+0*Costeo!$C$119+$A176*Costeo!$D$119+0*Costeo!$E$119)&lt;=1000),0,IF((0*Costeo!$B$120+0*Costeo!$C$120+$A176*Costeo!$D$120+0*Costeo!$E$120)&lt;=10000000,20,IF((0*Costeo!$B$120+0*Costeo!$C$120+$A176*Costeo!$D$120+0*Costeo!$E$120)&lt;=50000000,100,300)))+MAX(0,ROUNDUP((0*Costeo!$B$36+0*Costeo!$C$36+$A176*Costeo!$D$36+0*Costeo!$E$36)/5000,0)-1)*Costeo!$B$62+IF((0*Costeo!$B$36+0*Costeo!$C$36+$A176*Costeo!$D$36+0*Costeo!$E$36)&gt;5000,32-Costeo!$B$61,0))*Costeo!$B$51,2))))&gt;=0),$A176,1000000000)</f>
        <v>1000000000</v>
      </c>
      <c r="E176" s="121">
        <f>IF(AND($A176*Costeo!$E$36&lt;=10000,(($A176)*$D$12-$B$4-((ROUND((MAX(0,(0*Costeo!$B$117+0*Costeo!$C$117+0*Costeo!$D$117+$A176*Costeo!$E$117)-100)*Costeo!$B$53+MAX(0,(0*Costeo!$B$118+0*Costeo!$C$118+0*Costeo!$D$118+$A176*Costeo!$E$118)-250)*Costeo!$B$52+(MAX(0,ROUNDUP(((0*Costeo!$B$116+0*Costeo!$C$116)+(0*Costeo!$D$116+$A176*Costeo!$E$116)*0.05)*2,0)-8)+(0*Costeo!$B$131+0*Costeo!$C$131+0*Costeo!$D$131+$A176*Costeo!$E$131))*Costeo!$B$54+IF((0*Costeo!$B$36+0*Costeo!$C$36)&lt;=2000,10,IF((0*Costeo!$B$36+0*Costeo!$C$36)&lt;=5000,15,IF((0*Costeo!$B$36+0*Costeo!$C$36)&lt;=10000,60,110)))-10)*Costeo!$B$51,2))+(ROUND((MAX(0,(0*Costeo!$B$130+0*Costeo!$C$130+0*Costeo!$D$130+$A176*Costeo!$E$130)+20*2*2*Costeo!$B$69+30*(1/3600*Costeo!$B$55+5/3600*Costeo!$B$56)-Costeo!$B$58)+IF(AND((0*Costeo!$B$120+0*Costeo!$C$120+0*Costeo!$D$120+$A176*Costeo!$E$120)&lt;=1000000,(0*Costeo!$B$119+0*Costeo!$C$119+0*Costeo!$D$119+$A176*Costeo!$E$119)&lt;=1000),0,IF((0*Costeo!$B$120+0*Costeo!$C$120+0*Costeo!$D$120+$A176*Costeo!$E$120)&lt;=10000000,20,IF((0*Costeo!$B$120+0*Costeo!$C$120+0*Costeo!$D$120+$A176*Costeo!$E$120)&lt;=50000000,100,300)))+MAX(0,ROUNDUP((0*Costeo!$B$36+0*Costeo!$C$36+0*Costeo!$D$36+$A176*Costeo!$E$36)/5000,0)-1)*Costeo!$B$62+IF((0*Costeo!$B$36+0*Costeo!$C$36+0*Costeo!$D$36+$A176*Costeo!$E$36)&gt;5000,32-Costeo!$B$61,0))*Costeo!$B$51,2))))&gt;=0),$A176,1000000000)</f>
        <v>1000000000</v>
      </c>
    </row>
  </sheetData>
  <mergeCells count="25">
    <mergeCell ref="A24:E24"/>
    <mergeCell ref="A15:E15"/>
    <mergeCell ref="C31:E31"/>
    <mergeCell ref="A1:E1"/>
    <mergeCell ref="A45:E45"/>
    <mergeCell ref="C36:E36"/>
    <mergeCell ref="B4:E4"/>
    <mergeCell ref="A7:E7"/>
    <mergeCell ref="A46:E46"/>
    <mergeCell ref="A27:E27"/>
    <mergeCell ref="C32:E32"/>
    <mergeCell ref="A3:E3"/>
    <mergeCell ref="A50:E50"/>
    <mergeCell ref="C28:E28"/>
    <mergeCell ref="A2:E2"/>
    <mergeCell ref="A5:E5"/>
    <mergeCell ref="A23:E23"/>
    <mergeCell ref="C30:E30"/>
    <mergeCell ref="A22:E22"/>
    <mergeCell ref="C34:E34"/>
    <mergeCell ref="C33:E33"/>
    <mergeCell ref="A38:E38"/>
    <mergeCell ref="A13:E13"/>
    <mergeCell ref="C29:E29"/>
    <mergeCell ref="C35:E35"/>
  </mergeCells>
  <hyperlinks>
    <hyperlink ref="A24" location="'Estructura de Precios'!A27" display="Ver alcance, fórmulas y recuperación de la cartera mixta ↓"/>
    <hyperlink ref="A46" location="'Costeo'!A152" display="Fuentes y supuestos: Costeo contiene tarifas oficiales y decisiones de dimensionamiento. Abrir el vínculo para revisar su alcance."/>
  </hyperlinks>
  <pageMargins left="0.75" right="0.75" top="1" bottom="1" header="0.5" footer="0.5"/>
  <pageSetup orientation="portrait" paperSize="9"/>
  <headerFooter>
    <oddHeader/>
    <oddFooter>&amp;CPulso · Equilibrio operativo por plan · Proyección antes de impuestos</oddFooter>
    <evenHeader/>
    <evenFooter/>
    <firstHeader/>
    <firstFooter/>
  </headerFooter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2026-09-11T18:16:57Z</dcterms:created>
  <dcterms:modified xsi:type="dcterms:W3CDTF">2026-09-17T15:45:07Z</dcterms:modified>
  <cp:lastModifiedBy>Derian Acuña Rojas</cp:lastModifiedBy>
</cp:coreProperties>
</file>